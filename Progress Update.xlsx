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9ef765714c923f/Desktop/"/>
    </mc:Choice>
  </mc:AlternateContent>
  <xr:revisionPtr revIDLastSave="0" documentId="8_{500A64D6-046A-4AE3-B0E5-40CE99AD5D63}" xr6:coauthVersionLast="47" xr6:coauthVersionMax="47" xr10:uidLastSave="{00000000-0000-0000-0000-000000000000}"/>
  <bookViews>
    <workbookView xWindow="28680" yWindow="-120" windowWidth="29040" windowHeight="15720" xr2:uid="{BF5A74B7-8AB2-44B2-9F79-CC88E12EAACD}"/>
  </bookViews>
  <sheets>
    <sheet name="SUMMARY DATA" sheetId="2" r:id="rId1"/>
  </sheets>
  <externalReferences>
    <externalReference r:id="rId2"/>
  </externalReferences>
  <definedNames>
    <definedName name="_xlnm._FilterDatabase" localSheetId="0" hidden="1">'SUMMARY DATA'!$A$5:$AA$5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4" i="2" l="1"/>
  <c r="W14" i="2"/>
  <c r="V14" i="2"/>
  <c r="U14" i="2"/>
  <c r="T14" i="2"/>
  <c r="M14" i="2" s="1"/>
  <c r="S14" i="2"/>
  <c r="L14" i="2" s="1"/>
  <c r="Q14" i="2"/>
  <c r="P14" i="2"/>
  <c r="O14" i="2"/>
  <c r="N14" i="2"/>
  <c r="C14" i="2"/>
  <c r="X13" i="2"/>
  <c r="W13" i="2"/>
  <c r="V13" i="2"/>
  <c r="U13" i="2"/>
  <c r="N13" i="2" s="1"/>
  <c r="T13" i="2"/>
  <c r="M13" i="2" s="1"/>
  <c r="S13" i="2"/>
  <c r="L13" i="2" s="1"/>
  <c r="Q13" i="2"/>
  <c r="P13" i="2"/>
  <c r="O13" i="2"/>
  <c r="C13" i="2"/>
  <c r="X12" i="2"/>
  <c r="W12" i="2"/>
  <c r="V12" i="2"/>
  <c r="O12" i="2" s="1"/>
  <c r="U12" i="2"/>
  <c r="N12" i="2" s="1"/>
  <c r="T12" i="2"/>
  <c r="M12" i="2" s="1"/>
  <c r="S12" i="2"/>
  <c r="L12" i="2" s="1"/>
  <c r="Q12" i="2"/>
  <c r="P12" i="2"/>
  <c r="D12" i="2"/>
  <c r="C12" i="2"/>
  <c r="X11" i="2"/>
  <c r="Q11" i="2" s="1"/>
  <c r="W11" i="2"/>
  <c r="P11" i="2" s="1"/>
  <c r="V11" i="2"/>
  <c r="O11" i="2" s="1"/>
  <c r="U11" i="2"/>
  <c r="N11" i="2" s="1"/>
  <c r="T11" i="2"/>
  <c r="M11" i="2" s="1"/>
  <c r="S11" i="2"/>
  <c r="L11" i="2" s="1"/>
  <c r="D11" i="2"/>
  <c r="C11" i="2"/>
  <c r="X10" i="2"/>
  <c r="Q10" i="2" s="1"/>
  <c r="W10" i="2"/>
  <c r="P10" i="2" s="1"/>
  <c r="V10" i="2"/>
  <c r="O10" i="2" s="1"/>
  <c r="U10" i="2"/>
  <c r="N10" i="2" s="1"/>
  <c r="T10" i="2"/>
  <c r="S10" i="2"/>
  <c r="M10" i="2"/>
  <c r="L10" i="2"/>
  <c r="C10" i="2"/>
  <c r="X9" i="2"/>
  <c r="Q9" i="2" s="1"/>
  <c r="W9" i="2"/>
  <c r="P9" i="2" s="1"/>
  <c r="V9" i="2"/>
  <c r="O9" i="2" s="1"/>
  <c r="U9" i="2"/>
  <c r="T9" i="2"/>
  <c r="S9" i="2"/>
  <c r="N9" i="2"/>
  <c r="M9" i="2"/>
  <c r="L9" i="2"/>
  <c r="C9" i="2"/>
  <c r="X8" i="2"/>
  <c r="Q8" i="2" s="1"/>
  <c r="W8" i="2"/>
  <c r="P8" i="2" s="1"/>
  <c r="V8" i="2"/>
  <c r="U8" i="2"/>
  <c r="T8" i="2"/>
  <c r="S8" i="2"/>
  <c r="O8" i="2"/>
  <c r="N8" i="2"/>
  <c r="M8" i="2"/>
  <c r="L8" i="2"/>
  <c r="C8" i="2"/>
  <c r="X7" i="2"/>
  <c r="Q7" i="2" s="1"/>
  <c r="W7" i="2"/>
  <c r="V7" i="2"/>
  <c r="U7" i="2"/>
  <c r="T7" i="2"/>
  <c r="S7" i="2"/>
  <c r="P7" i="2"/>
  <c r="O7" i="2"/>
  <c r="N7" i="2"/>
  <c r="M7" i="2"/>
  <c r="L7" i="2"/>
  <c r="C7" i="2"/>
  <c r="X6" i="2"/>
  <c r="X15" i="2" s="1"/>
  <c r="W6" i="2"/>
  <c r="W15" i="2" s="1"/>
  <c r="V6" i="2"/>
  <c r="V15" i="2" s="1"/>
  <c r="U6" i="2"/>
  <c r="U15" i="2" s="1"/>
  <c r="T6" i="2"/>
  <c r="T15" i="2" s="1"/>
  <c r="S6" i="2"/>
  <c r="S15" i="2" s="1"/>
  <c r="Q6" i="2"/>
  <c r="P6" i="2"/>
  <c r="O6" i="2"/>
  <c r="N6" i="2"/>
  <c r="M6" i="2"/>
  <c r="L6" i="2"/>
  <c r="D6" i="2"/>
  <c r="D15" i="2" s="1"/>
  <c r="C6" i="2"/>
  <c r="C15" i="2" s="1"/>
  <c r="O15" i="2" l="1"/>
  <c r="O16" i="2" s="1"/>
  <c r="V16" i="2"/>
  <c r="W16" i="2"/>
  <c r="P15" i="2"/>
  <c r="P16" i="2" s="1"/>
  <c r="X16" i="2"/>
  <c r="Q15" i="2"/>
  <c r="Q16" i="2" s="1"/>
  <c r="S16" i="2"/>
  <c r="L15" i="2"/>
  <c r="L16" i="2" s="1"/>
  <c r="T16" i="2"/>
  <c r="M15" i="2"/>
  <c r="M16" i="2" s="1"/>
  <c r="N15" i="2"/>
  <c r="N16" i="2" s="1"/>
  <c r="U16" i="2"/>
</calcChain>
</file>

<file path=xl/sharedStrings.xml><?xml version="1.0" encoding="utf-8"?>
<sst xmlns="http://schemas.openxmlformats.org/spreadsheetml/2006/main" count="37" uniqueCount="25">
  <si>
    <t>Structural Component list</t>
  </si>
  <si>
    <t>Total Material Received 
by Warehouse (T)</t>
  </si>
  <si>
    <t>Previous week cummulative Qty</t>
  </si>
  <si>
    <t>This week cummulative Qty</t>
  </si>
  <si>
    <t>Total cummulative Qty</t>
  </si>
  <si>
    <t>Material Unloading 
(T)</t>
  </si>
  <si>
    <t>Pre-assembly
(T)</t>
  </si>
  <si>
    <t>Erection 
(T)</t>
  </si>
  <si>
    <t>Alignment Bolting &amp; Torquing
(T)</t>
  </si>
  <si>
    <t>Painting &amp; Touch up
(T)</t>
  </si>
  <si>
    <t>Final Inspection
(T)</t>
  </si>
  <si>
    <t>Serial number  </t>
  </si>
  <si>
    <t>TAG</t>
  </si>
  <si>
    <t>Gross Weight (T)  </t>
  </si>
  <si>
    <t>CT-1010-02</t>
  </si>
  <si>
    <t>CT-1010-20</t>
  </si>
  <si>
    <t>CT-1010-21</t>
  </si>
  <si>
    <t>CT-1010-27</t>
  </si>
  <si>
    <t>TR-1010-01</t>
  </si>
  <si>
    <t>TR-1010-21</t>
  </si>
  <si>
    <t>TR-1010-26</t>
  </si>
  <si>
    <t>TR-1010-20</t>
  </si>
  <si>
    <t>TR-1010-27</t>
  </si>
  <si>
    <t>Total Progress in Kg</t>
  </si>
  <si>
    <t xml:space="preserve">Total Progress in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</si>
</sst>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008B"/>
      <name val="Arial"/>
      <family val="2"/>
    </font>
    <font>
      <sz val="11"/>
      <color rgb="FF00008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horizontal="left" vertical="center"/>
    </xf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5" fillId="6" borderId="11" xfId="1" applyFont="1" applyFill="1" applyBorder="1" applyAlignment="1">
      <alignment horizontal="center" vertical="center" wrapText="1"/>
    </xf>
    <xf numFmtId="0" fontId="2" fillId="3" borderId="12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11" xfId="2" applyNumberFormat="1" applyFont="1" applyBorder="1" applyAlignment="1">
      <alignment horizontal="center" vertical="center"/>
    </xf>
    <xf numFmtId="2" fontId="7" fillId="0" borderId="11" xfId="1" applyNumberFormat="1" applyFont="1" applyBorder="1" applyAlignment="1">
      <alignment horizontal="center" vertical="center"/>
    </xf>
    <xf numFmtId="164" fontId="7" fillId="0" borderId="11" xfId="2" applyFont="1" applyBorder="1" applyAlignment="1">
      <alignment horizontal="center" vertical="center"/>
    </xf>
    <xf numFmtId="164" fontId="8" fillId="0" borderId="11" xfId="1" applyNumberFormat="1" applyFont="1" applyBorder="1">
      <alignment horizontal="left" vertical="center"/>
    </xf>
    <xf numFmtId="0" fontId="9" fillId="0" borderId="11" xfId="1" applyFont="1" applyBorder="1">
      <alignment horizontal="left" vertical="center"/>
    </xf>
    <xf numFmtId="0" fontId="9" fillId="0" borderId="0" xfId="1" applyFont="1">
      <alignment horizontal="left" vertical="center"/>
    </xf>
    <xf numFmtId="2" fontId="5" fillId="6" borderId="13" xfId="1" applyNumberFormat="1" applyFont="1" applyFill="1" applyBorder="1" applyAlignment="1">
      <alignment horizontal="center" vertical="center"/>
    </xf>
    <xf numFmtId="2" fontId="5" fillId="6" borderId="14" xfId="1" applyNumberFormat="1" applyFont="1" applyFill="1" applyBorder="1" applyAlignment="1">
      <alignment horizontal="center" vertical="center"/>
    </xf>
    <xf numFmtId="164" fontId="7" fillId="6" borderId="11" xfId="2" applyFont="1" applyFill="1" applyBorder="1" applyAlignment="1">
      <alignment horizontal="center" vertical="center"/>
    </xf>
    <xf numFmtId="164" fontId="8" fillId="6" borderId="11" xfId="1" applyNumberFormat="1" applyFont="1" applyFill="1" applyBorder="1" applyAlignment="1">
      <alignment horizontal="center" vertical="center"/>
    </xf>
    <xf numFmtId="164" fontId="9" fillId="6" borderId="11" xfId="2" applyFont="1" applyFill="1" applyBorder="1" applyAlignment="1">
      <alignment horizontal="center" vertical="center"/>
    </xf>
    <xf numFmtId="2" fontId="5" fillId="7" borderId="11" xfId="1" applyNumberFormat="1" applyFont="1" applyFill="1" applyBorder="1" applyAlignment="1">
      <alignment horizontal="center" vertical="center"/>
    </xf>
    <xf numFmtId="0" fontId="1" fillId="7" borderId="11" xfId="1" applyFill="1" applyBorder="1">
      <alignment horizontal="left" vertical="center"/>
    </xf>
    <xf numFmtId="10" fontId="8" fillId="7" borderId="11" xfId="3" applyNumberFormat="1" applyFont="1" applyFill="1" applyBorder="1" applyAlignment="1">
      <alignment horizontal="center" vertical="center"/>
    </xf>
    <xf numFmtId="0" fontId="9" fillId="7" borderId="11" xfId="1" applyFont="1" applyFill="1" applyBorder="1" applyAlignment="1">
      <alignment horizontal="center" vertical="center"/>
    </xf>
  </cellXfs>
  <cellStyles count="4">
    <cellStyle name="Comma 2" xfId="2" xr:uid="{4CF8E244-40F5-463C-A830-1CFB8000A214}"/>
    <cellStyle name="Normal" xfId="0" builtinId="0"/>
    <cellStyle name="Normal 3" xfId="1" xr:uid="{FD64E346-2699-4CBA-814A-6DC36218BAD4}"/>
    <cellStyle name="Per cent 2" xfId="3" xr:uid="{F181BD6D-90B2-4460-9F25-2A99B1F64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cog\Downloads\Master%20Progress%20List%20-VODC.xlsx" TargetMode="External"/><Relationship Id="rId1" Type="http://schemas.openxmlformats.org/officeDocument/2006/relationships/externalLinkPath" Target="file:///C:\Users\encog\Downloads\Master%20Progress%20List%20-VOD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DATA"/>
      <sheetName val="MASTER DATA"/>
      <sheetName val="CT-1010-02"/>
      <sheetName val="Sheet3"/>
      <sheetName val="Sheet4"/>
      <sheetName val="CT-1010-20"/>
      <sheetName val="CT-1010-21"/>
      <sheetName val="CT-1010-27"/>
      <sheetName val="TR-1010-01"/>
      <sheetName val="TR-1010-20"/>
      <sheetName val="Sheet1"/>
      <sheetName val="TR-1010-21"/>
      <sheetName val="TR-1010-26"/>
      <sheetName val="Sheet2"/>
      <sheetName val="TR-1010-27"/>
    </sheetNames>
    <sheetDataSet>
      <sheetData sheetId="0"/>
      <sheetData sheetId="1" refreshError="1"/>
      <sheetData sheetId="2">
        <row r="1">
          <cell r="O1">
            <v>855.41327700000272</v>
          </cell>
        </row>
        <row r="5">
          <cell r="X5">
            <v>473.80042499999962</v>
          </cell>
          <cell r="AA5">
            <v>239.54509999999965</v>
          </cell>
          <cell r="AD5">
            <v>191.78069999999971</v>
          </cell>
          <cell r="AG5">
            <v>79.495450000000005</v>
          </cell>
          <cell r="AK5">
            <v>0</v>
          </cell>
          <cell r="AN5">
            <v>0</v>
          </cell>
        </row>
      </sheetData>
      <sheetData sheetId="3" refreshError="1"/>
      <sheetData sheetId="4" refreshError="1"/>
      <sheetData sheetId="5">
        <row r="1">
          <cell r="O1">
            <v>714.40823037619168</v>
          </cell>
        </row>
        <row r="5">
          <cell r="W5">
            <v>0</v>
          </cell>
          <cell r="Z5">
            <v>0</v>
          </cell>
          <cell r="AC5">
            <v>0</v>
          </cell>
          <cell r="AF5">
            <v>0</v>
          </cell>
          <cell r="AI5">
            <v>0</v>
          </cell>
          <cell r="AL5">
            <v>0</v>
          </cell>
        </row>
      </sheetData>
      <sheetData sheetId="6">
        <row r="1">
          <cell r="M1">
            <v>247.74190000000019</v>
          </cell>
        </row>
        <row r="5">
          <cell r="U5">
            <v>0</v>
          </cell>
          <cell r="X5">
            <v>0</v>
          </cell>
          <cell r="AA5">
            <v>0</v>
          </cell>
          <cell r="AD5">
            <v>0</v>
          </cell>
          <cell r="AG5">
            <v>0</v>
          </cell>
          <cell r="AJ5">
            <v>0</v>
          </cell>
        </row>
      </sheetData>
      <sheetData sheetId="7">
        <row r="1">
          <cell r="N1">
            <v>106.45699999999998</v>
          </cell>
        </row>
        <row r="5">
          <cell r="V5">
            <v>0</v>
          </cell>
          <cell r="Y5">
            <v>0</v>
          </cell>
          <cell r="AB5">
            <v>0</v>
          </cell>
          <cell r="AE5">
            <v>0</v>
          </cell>
          <cell r="AH5">
            <v>0</v>
          </cell>
          <cell r="AK5">
            <v>0</v>
          </cell>
        </row>
      </sheetData>
      <sheetData sheetId="8">
        <row r="1">
          <cell r="M1">
            <v>147.42659999999984</v>
          </cell>
        </row>
        <row r="5">
          <cell r="U5">
            <v>0</v>
          </cell>
          <cell r="X5">
            <v>0</v>
          </cell>
          <cell r="AA5">
            <v>0</v>
          </cell>
          <cell r="AD5">
            <v>0</v>
          </cell>
          <cell r="AG5">
            <v>0</v>
          </cell>
          <cell r="AJ5">
            <v>0</v>
          </cell>
        </row>
      </sheetData>
      <sheetData sheetId="9">
        <row r="1">
          <cell r="M1">
            <v>300.96150000000029</v>
          </cell>
        </row>
        <row r="5">
          <cell r="U5">
            <v>0</v>
          </cell>
          <cell r="X5">
            <v>0</v>
          </cell>
          <cell r="AA5">
            <v>0</v>
          </cell>
          <cell r="AD5">
            <v>0</v>
          </cell>
          <cell r="AG5">
            <v>0</v>
          </cell>
          <cell r="AJ5">
            <v>0</v>
          </cell>
        </row>
      </sheetData>
      <sheetData sheetId="10" refreshError="1"/>
      <sheetData sheetId="11">
        <row r="1">
          <cell r="M1">
            <v>1460.99638000001</v>
          </cell>
        </row>
        <row r="5">
          <cell r="U5">
            <v>56.30639</v>
          </cell>
          <cell r="X5">
            <v>46.023979999999995</v>
          </cell>
          <cell r="AA5">
            <v>0</v>
          </cell>
          <cell r="AD5">
            <v>0</v>
          </cell>
          <cell r="AG5">
            <v>0</v>
          </cell>
          <cell r="AJ5">
            <v>0</v>
          </cell>
        </row>
      </sheetData>
      <sheetData sheetId="12">
        <row r="1">
          <cell r="M1">
            <v>7.5582000000000011</v>
          </cell>
        </row>
        <row r="5">
          <cell r="U5">
            <v>0</v>
          </cell>
          <cell r="X5">
            <v>0</v>
          </cell>
          <cell r="AA5">
            <v>0</v>
          </cell>
          <cell r="AD5">
            <v>0</v>
          </cell>
          <cell r="AH5">
            <v>0</v>
          </cell>
          <cell r="AK5">
            <v>0</v>
          </cell>
        </row>
      </sheetData>
      <sheetData sheetId="13" refreshError="1"/>
      <sheetData sheetId="14">
        <row r="1">
          <cell r="M1">
            <v>211.6867</v>
          </cell>
        </row>
        <row r="5">
          <cell r="U5">
            <v>0</v>
          </cell>
          <cell r="X5">
            <v>0</v>
          </cell>
          <cell r="AA5">
            <v>0</v>
          </cell>
          <cell r="AD5">
            <v>0</v>
          </cell>
          <cell r="AG5">
            <v>0</v>
          </cell>
          <cell r="AJ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2D97-E5AF-4F86-BADB-5CEFD1E82920}">
  <dimension ref="A1:X16"/>
  <sheetViews>
    <sheetView tabSelected="1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K28" sqref="K28"/>
    </sheetView>
  </sheetViews>
  <sheetFormatPr defaultRowHeight="13.8" x14ac:dyDescent="0.3"/>
  <cols>
    <col min="1" max="1" width="14.109375" style="37" bestFit="1" customWidth="1"/>
    <col min="2" max="2" width="22.33203125" style="37" customWidth="1"/>
    <col min="3" max="3" width="24.109375" style="37" customWidth="1"/>
    <col min="4" max="4" width="23" style="37" customWidth="1"/>
    <col min="5" max="5" width="17.77734375" style="37" customWidth="1"/>
    <col min="6" max="6" width="15.109375" style="37" customWidth="1"/>
    <col min="7" max="8" width="14.109375" style="37" customWidth="1"/>
    <col min="9" max="9" width="16.21875" style="37" customWidth="1"/>
    <col min="10" max="10" width="14.109375" style="37" customWidth="1"/>
    <col min="11" max="11" width="11.109375" style="37" customWidth="1"/>
    <col min="12" max="12" width="17.77734375" style="37" customWidth="1"/>
    <col min="13" max="13" width="16.6640625" style="37" customWidth="1"/>
    <col min="14" max="17" width="14.109375" style="37" customWidth="1"/>
    <col min="18" max="18" width="9.5546875" style="37" customWidth="1"/>
    <col min="19" max="19" width="17.77734375" style="37" customWidth="1"/>
    <col min="20" max="20" width="15.5546875" style="37" bestFit="1" customWidth="1"/>
    <col min="21" max="22" width="14.109375" style="37" customWidth="1"/>
    <col min="23" max="23" width="16.21875" style="37" bestFit="1" customWidth="1"/>
    <col min="24" max="24" width="14.109375" style="37" customWidth="1"/>
    <col min="25" max="16384" width="8.88671875" style="37"/>
  </cols>
  <sheetData>
    <row r="1" spans="1:24" s="9" customFormat="1" ht="15.6" x14ac:dyDescent="0.3">
      <c r="A1" s="1" t="s">
        <v>0</v>
      </c>
      <c r="B1" s="2"/>
      <c r="C1" s="3"/>
      <c r="D1" s="4" t="s">
        <v>1</v>
      </c>
      <c r="E1" s="5" t="s">
        <v>2</v>
      </c>
      <c r="F1" s="6"/>
      <c r="G1" s="6"/>
      <c r="H1" s="6"/>
      <c r="I1" s="6"/>
      <c r="J1" s="7"/>
      <c r="K1" s="8"/>
      <c r="L1" s="5" t="s">
        <v>3</v>
      </c>
      <c r="M1" s="6"/>
      <c r="N1" s="6"/>
      <c r="O1" s="6"/>
      <c r="P1" s="6"/>
      <c r="Q1" s="7"/>
      <c r="R1" s="8"/>
      <c r="S1" s="5" t="s">
        <v>4</v>
      </c>
      <c r="T1" s="6"/>
      <c r="U1" s="6"/>
      <c r="V1" s="6"/>
      <c r="W1" s="6"/>
      <c r="X1" s="7"/>
    </row>
    <row r="2" spans="1:24" s="9" customFormat="1" ht="15.6" x14ac:dyDescent="0.3">
      <c r="A2" s="10"/>
      <c r="B2" s="11"/>
      <c r="C2" s="12"/>
      <c r="D2" s="13"/>
      <c r="E2" s="14"/>
      <c r="F2" s="15"/>
      <c r="G2" s="15"/>
      <c r="H2" s="15"/>
      <c r="I2" s="15"/>
      <c r="J2" s="16"/>
      <c r="K2" s="17"/>
      <c r="L2" s="14"/>
      <c r="M2" s="15"/>
      <c r="N2" s="15"/>
      <c r="O2" s="15"/>
      <c r="P2" s="15"/>
      <c r="Q2" s="16"/>
      <c r="R2" s="17"/>
      <c r="S2" s="14"/>
      <c r="T2" s="15"/>
      <c r="U2" s="15"/>
      <c r="V2" s="15"/>
      <c r="W2" s="15"/>
      <c r="X2" s="16"/>
    </row>
    <row r="3" spans="1:24" s="9" customFormat="1" ht="15.6" x14ac:dyDescent="0.3">
      <c r="A3" s="10"/>
      <c r="B3" s="11"/>
      <c r="C3" s="12"/>
      <c r="D3" s="13"/>
      <c r="E3" s="18"/>
      <c r="F3" s="19"/>
      <c r="G3" s="19"/>
      <c r="H3" s="19"/>
      <c r="I3" s="19"/>
      <c r="J3" s="20"/>
      <c r="K3" s="21"/>
      <c r="L3" s="18"/>
      <c r="M3" s="19"/>
      <c r="N3" s="19"/>
      <c r="O3" s="19"/>
      <c r="P3" s="19"/>
      <c r="Q3" s="20"/>
      <c r="R3" s="21"/>
      <c r="S3" s="18"/>
      <c r="T3" s="19"/>
      <c r="U3" s="19"/>
      <c r="V3" s="19"/>
      <c r="W3" s="19"/>
      <c r="X3" s="20"/>
    </row>
    <row r="4" spans="1:24" s="9" customFormat="1" ht="27" customHeight="1" x14ac:dyDescent="0.3">
      <c r="A4" s="22"/>
      <c r="B4" s="23"/>
      <c r="C4" s="24"/>
      <c r="D4" s="13"/>
      <c r="E4" s="25" t="s">
        <v>5</v>
      </c>
      <c r="F4" s="25" t="s">
        <v>6</v>
      </c>
      <c r="G4" s="25" t="s">
        <v>7</v>
      </c>
      <c r="H4" s="25" t="s">
        <v>8</v>
      </c>
      <c r="I4" s="25" t="s">
        <v>9</v>
      </c>
      <c r="J4" s="25" t="s">
        <v>10</v>
      </c>
      <c r="K4" s="26"/>
      <c r="L4" s="25" t="s">
        <v>5</v>
      </c>
      <c r="M4" s="25" t="s">
        <v>6</v>
      </c>
      <c r="N4" s="25" t="s">
        <v>7</v>
      </c>
      <c r="O4" s="25" t="s">
        <v>8</v>
      </c>
      <c r="P4" s="25" t="s">
        <v>9</v>
      </c>
      <c r="Q4" s="25" t="s">
        <v>10</v>
      </c>
      <c r="R4" s="26"/>
      <c r="S4" s="25" t="s">
        <v>5</v>
      </c>
      <c r="T4" s="25" t="s">
        <v>6</v>
      </c>
      <c r="U4" s="25" t="s">
        <v>7</v>
      </c>
      <c r="V4" s="25" t="s">
        <v>8</v>
      </c>
      <c r="W4" s="25" t="s">
        <v>9</v>
      </c>
      <c r="X4" s="25" t="s">
        <v>10</v>
      </c>
    </row>
    <row r="5" spans="1:24" s="31" customFormat="1" ht="61.95" customHeight="1" x14ac:dyDescent="0.3">
      <c r="A5" s="27" t="s">
        <v>11</v>
      </c>
      <c r="B5" s="27" t="s">
        <v>12</v>
      </c>
      <c r="C5" s="27" t="s">
        <v>13</v>
      </c>
      <c r="D5" s="28"/>
      <c r="E5" s="29"/>
      <c r="F5" s="29"/>
      <c r="G5" s="29"/>
      <c r="H5" s="29"/>
      <c r="I5" s="29"/>
      <c r="J5" s="29"/>
      <c r="K5" s="30"/>
      <c r="L5" s="29"/>
      <c r="M5" s="29"/>
      <c r="N5" s="29"/>
      <c r="O5" s="29"/>
      <c r="P5" s="29"/>
      <c r="Q5" s="29"/>
      <c r="R5" s="30"/>
      <c r="S5" s="29"/>
      <c r="T5" s="29"/>
      <c r="U5" s="29"/>
      <c r="V5" s="29"/>
      <c r="W5" s="29"/>
      <c r="X5" s="29"/>
    </row>
    <row r="6" spans="1:24" ht="32.4" customHeight="1" x14ac:dyDescent="0.3">
      <c r="A6" s="32">
        <v>1</v>
      </c>
      <c r="B6" s="33" t="s">
        <v>14</v>
      </c>
      <c r="C6" s="34">
        <f>'[1]CT-1010-02'!O1</f>
        <v>855.41327700000272</v>
      </c>
      <c r="D6" s="34">
        <f>330+602</f>
        <v>932</v>
      </c>
      <c r="E6" s="35">
        <v>217.21344999999948</v>
      </c>
      <c r="F6" s="35">
        <v>111.75389999999996</v>
      </c>
      <c r="G6" s="35">
        <v>103.38555000000001</v>
      </c>
      <c r="H6" s="35">
        <v>40.946100000000001</v>
      </c>
      <c r="I6" s="35">
        <v>0</v>
      </c>
      <c r="J6" s="35">
        <v>0</v>
      </c>
      <c r="K6" s="36"/>
      <c r="L6" s="35">
        <f>S6-E6</f>
        <v>256.58697500000017</v>
      </c>
      <c r="M6" s="35">
        <f t="shared" ref="M6:Q15" si="0">T6-F6</f>
        <v>127.79119999999969</v>
      </c>
      <c r="N6" s="35">
        <f t="shared" si="0"/>
        <v>88.395149999999703</v>
      </c>
      <c r="O6" s="35">
        <f t="shared" si="0"/>
        <v>38.549350000000004</v>
      </c>
      <c r="P6" s="35">
        <f t="shared" si="0"/>
        <v>0</v>
      </c>
      <c r="Q6" s="35">
        <f t="shared" si="0"/>
        <v>0</v>
      </c>
      <c r="R6" s="36"/>
      <c r="S6" s="35">
        <f>'[1]CT-1010-02'!X5</f>
        <v>473.80042499999962</v>
      </c>
      <c r="T6" s="35">
        <f>'[1]CT-1010-02'!AA5</f>
        <v>239.54509999999965</v>
      </c>
      <c r="U6" s="35">
        <f>'[1]CT-1010-02'!AD5</f>
        <v>191.78069999999971</v>
      </c>
      <c r="V6" s="35">
        <f>'[1]CT-1010-02'!AG5</f>
        <v>79.495450000000005</v>
      </c>
      <c r="W6" s="35">
        <f>'[1]CT-1010-02'!AK5</f>
        <v>0</v>
      </c>
      <c r="X6" s="35">
        <f>'[1]CT-1010-02'!AN5</f>
        <v>0</v>
      </c>
    </row>
    <row r="7" spans="1:24" ht="32.4" customHeight="1" x14ac:dyDescent="0.3">
      <c r="A7" s="32">
        <v>2</v>
      </c>
      <c r="B7" s="33" t="s">
        <v>15</v>
      </c>
      <c r="C7" s="34">
        <f>'[1]CT-1010-20'!O1</f>
        <v>714.40823037619168</v>
      </c>
      <c r="D7" s="34">
        <v>227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6"/>
      <c r="L7" s="35">
        <f t="shared" ref="L7:L14" si="1">S7-E7</f>
        <v>0</v>
      </c>
      <c r="M7" s="35">
        <f t="shared" si="0"/>
        <v>0</v>
      </c>
      <c r="N7" s="35">
        <f t="shared" si="0"/>
        <v>0</v>
      </c>
      <c r="O7" s="35">
        <f t="shared" si="0"/>
        <v>0</v>
      </c>
      <c r="P7" s="35">
        <f t="shared" si="0"/>
        <v>0</v>
      </c>
      <c r="Q7" s="35">
        <f t="shared" si="0"/>
        <v>0</v>
      </c>
      <c r="R7" s="36"/>
      <c r="S7" s="35">
        <f>'[1]CT-1010-20'!W5</f>
        <v>0</v>
      </c>
      <c r="T7" s="35">
        <f>'[1]CT-1010-20'!Z5</f>
        <v>0</v>
      </c>
      <c r="U7" s="35">
        <f>'[1]CT-1010-20'!AC5</f>
        <v>0</v>
      </c>
      <c r="V7" s="35">
        <f>'[1]CT-1010-20'!AF5</f>
        <v>0</v>
      </c>
      <c r="W7" s="35">
        <f>'[1]CT-1010-20'!AI5</f>
        <v>0</v>
      </c>
      <c r="X7" s="35">
        <f>'[1]CT-1010-20'!AL5</f>
        <v>0</v>
      </c>
    </row>
    <row r="8" spans="1:24" ht="32.4" customHeight="1" x14ac:dyDescent="0.3">
      <c r="A8" s="32">
        <v>3</v>
      </c>
      <c r="B8" s="33" t="s">
        <v>16</v>
      </c>
      <c r="C8" s="34">
        <f>'[1]CT-1010-21'!M1</f>
        <v>247.74190000000019</v>
      </c>
      <c r="D8" s="34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6"/>
      <c r="L8" s="35">
        <f t="shared" si="1"/>
        <v>0</v>
      </c>
      <c r="M8" s="35">
        <f t="shared" si="0"/>
        <v>0</v>
      </c>
      <c r="N8" s="35">
        <f t="shared" si="0"/>
        <v>0</v>
      </c>
      <c r="O8" s="35">
        <f t="shared" si="0"/>
        <v>0</v>
      </c>
      <c r="P8" s="35">
        <f t="shared" si="0"/>
        <v>0</v>
      </c>
      <c r="Q8" s="35">
        <f t="shared" si="0"/>
        <v>0</v>
      </c>
      <c r="R8" s="36"/>
      <c r="S8" s="35">
        <f>'[1]CT-1010-21'!U5</f>
        <v>0</v>
      </c>
      <c r="T8" s="35">
        <f>'[1]CT-1010-21'!X5</f>
        <v>0</v>
      </c>
      <c r="U8" s="35">
        <f>'[1]CT-1010-21'!AA5</f>
        <v>0</v>
      </c>
      <c r="V8" s="35">
        <f>'[1]CT-1010-21'!AD5</f>
        <v>0</v>
      </c>
      <c r="W8" s="35">
        <f>'[1]CT-1010-21'!AG5</f>
        <v>0</v>
      </c>
      <c r="X8" s="35">
        <f>'[1]CT-1010-21'!AJ5</f>
        <v>0</v>
      </c>
    </row>
    <row r="9" spans="1:24" ht="32.4" customHeight="1" x14ac:dyDescent="0.3">
      <c r="A9" s="32">
        <v>4</v>
      </c>
      <c r="B9" s="33" t="s">
        <v>17</v>
      </c>
      <c r="C9" s="34">
        <f>'[1]CT-1010-27'!N1</f>
        <v>106.45699999999998</v>
      </c>
      <c r="D9" s="34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6"/>
      <c r="L9" s="35">
        <f t="shared" si="1"/>
        <v>0</v>
      </c>
      <c r="M9" s="35">
        <f t="shared" si="0"/>
        <v>0</v>
      </c>
      <c r="N9" s="35">
        <f t="shared" si="0"/>
        <v>0</v>
      </c>
      <c r="O9" s="35">
        <f t="shared" si="0"/>
        <v>0</v>
      </c>
      <c r="P9" s="35">
        <f t="shared" si="0"/>
        <v>0</v>
      </c>
      <c r="Q9" s="35">
        <f t="shared" si="0"/>
        <v>0</v>
      </c>
      <c r="R9" s="36"/>
      <c r="S9" s="35">
        <f>'[1]CT-1010-27'!V5</f>
        <v>0</v>
      </c>
      <c r="T9" s="35">
        <f>'[1]CT-1010-27'!Y5</f>
        <v>0</v>
      </c>
      <c r="U9" s="35">
        <f>'[1]CT-1010-27'!AB5</f>
        <v>0</v>
      </c>
      <c r="V9" s="35">
        <f>'[1]CT-1010-27'!AE5</f>
        <v>0</v>
      </c>
      <c r="W9" s="35">
        <f>'[1]CT-1010-27'!AH5</f>
        <v>0</v>
      </c>
      <c r="X9" s="35">
        <f>'[1]CT-1010-27'!AK5</f>
        <v>0</v>
      </c>
    </row>
    <row r="10" spans="1:24" ht="32.4" customHeight="1" x14ac:dyDescent="0.3">
      <c r="A10" s="32">
        <v>5</v>
      </c>
      <c r="B10" s="33" t="s">
        <v>18</v>
      </c>
      <c r="C10" s="34">
        <f>'[1]TR-1010-01'!M1</f>
        <v>147.42659999999984</v>
      </c>
      <c r="D10" s="34">
        <v>337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6"/>
      <c r="L10" s="35">
        <f t="shared" si="1"/>
        <v>0</v>
      </c>
      <c r="M10" s="35">
        <f t="shared" si="0"/>
        <v>0</v>
      </c>
      <c r="N10" s="35">
        <f t="shared" si="0"/>
        <v>0</v>
      </c>
      <c r="O10" s="35">
        <f t="shared" si="0"/>
        <v>0</v>
      </c>
      <c r="P10" s="35">
        <f t="shared" si="0"/>
        <v>0</v>
      </c>
      <c r="Q10" s="35">
        <f t="shared" si="0"/>
        <v>0</v>
      </c>
      <c r="R10" s="36"/>
      <c r="S10" s="35">
        <f>'[1]TR-1010-01'!U5</f>
        <v>0</v>
      </c>
      <c r="T10" s="35">
        <f>'[1]TR-1010-01'!X5</f>
        <v>0</v>
      </c>
      <c r="U10" s="35">
        <f>'[1]TR-1010-01'!AA5</f>
        <v>0</v>
      </c>
      <c r="V10" s="35">
        <f>'[1]TR-1010-01'!AD5</f>
        <v>0</v>
      </c>
      <c r="W10" s="35">
        <f>'[1]TR-1010-01'!AG5</f>
        <v>0</v>
      </c>
      <c r="X10" s="35">
        <f>'[1]TR-1010-01'!AJ5</f>
        <v>0</v>
      </c>
    </row>
    <row r="11" spans="1:24" ht="32.4" customHeight="1" x14ac:dyDescent="0.3">
      <c r="A11" s="32">
        <v>6</v>
      </c>
      <c r="B11" s="33" t="s">
        <v>19</v>
      </c>
      <c r="C11" s="34">
        <f>'[1]TR-1010-21'!M1</f>
        <v>1460.99638000001</v>
      </c>
      <c r="D11" s="34">
        <f>1644+531</f>
        <v>2175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6"/>
      <c r="L11" s="35">
        <f t="shared" si="1"/>
        <v>56.30639</v>
      </c>
      <c r="M11" s="35">
        <f t="shared" si="0"/>
        <v>46.023979999999995</v>
      </c>
      <c r="N11" s="35">
        <f t="shared" si="0"/>
        <v>0</v>
      </c>
      <c r="O11" s="35">
        <f t="shared" si="0"/>
        <v>0</v>
      </c>
      <c r="P11" s="35">
        <f t="shared" si="0"/>
        <v>0</v>
      </c>
      <c r="Q11" s="35">
        <f t="shared" si="0"/>
        <v>0</v>
      </c>
      <c r="R11" s="36"/>
      <c r="S11" s="35">
        <f>'[1]TR-1010-21'!U5</f>
        <v>56.30639</v>
      </c>
      <c r="T11" s="35">
        <f>'[1]TR-1010-21'!X5</f>
        <v>46.023979999999995</v>
      </c>
      <c r="U11" s="35">
        <f>'[1]TR-1010-21'!AA5</f>
        <v>0</v>
      </c>
      <c r="V11" s="35">
        <f>'[1]TR-1010-21'!AD5</f>
        <v>0</v>
      </c>
      <c r="W11" s="35">
        <f>'[1]TR-1010-21'!AG5</f>
        <v>0</v>
      </c>
      <c r="X11" s="35">
        <f>'[1]TR-1010-21'!AJ5</f>
        <v>0</v>
      </c>
    </row>
    <row r="12" spans="1:24" ht="32.4" customHeight="1" x14ac:dyDescent="0.3">
      <c r="A12" s="32">
        <v>7</v>
      </c>
      <c r="B12" s="33" t="s">
        <v>20</v>
      </c>
      <c r="C12" s="34">
        <f>'[1]TR-1010-26'!M1</f>
        <v>7.5582000000000011</v>
      </c>
      <c r="D12" s="34">
        <f>2249+683</f>
        <v>2932</v>
      </c>
      <c r="E12" s="35">
        <v>293.00814999999926</v>
      </c>
      <c r="F12" s="35">
        <v>241.38229999999982</v>
      </c>
      <c r="G12" s="35">
        <v>0</v>
      </c>
      <c r="H12" s="35">
        <v>0</v>
      </c>
      <c r="I12" s="35">
        <v>0</v>
      </c>
      <c r="J12" s="35">
        <v>0</v>
      </c>
      <c r="K12" s="36"/>
      <c r="L12" s="35">
        <f t="shared" si="1"/>
        <v>-293.00814999999926</v>
      </c>
      <c r="M12" s="35">
        <f t="shared" si="0"/>
        <v>-241.38229999999982</v>
      </c>
      <c r="N12" s="35">
        <f>(U12-G12)</f>
        <v>0</v>
      </c>
      <c r="O12" s="35">
        <f>(V12-H12)</f>
        <v>0</v>
      </c>
      <c r="P12" s="35">
        <f t="shared" si="0"/>
        <v>0</v>
      </c>
      <c r="Q12" s="35">
        <f t="shared" si="0"/>
        <v>0</v>
      </c>
      <c r="R12" s="36"/>
      <c r="S12" s="35">
        <f>'[1]TR-1010-26'!U5</f>
        <v>0</v>
      </c>
      <c r="T12" s="35">
        <f>'[1]TR-1010-26'!X5</f>
        <v>0</v>
      </c>
      <c r="U12" s="35">
        <f>'[1]TR-1010-26'!AA5</f>
        <v>0</v>
      </c>
      <c r="V12" s="35">
        <f>'[1]TR-1010-26'!AD5</f>
        <v>0</v>
      </c>
      <c r="W12" s="35">
        <f>'[1]TR-1010-26'!AH5</f>
        <v>0</v>
      </c>
      <c r="X12" s="35">
        <f>'[1]TR-1010-26'!AK5</f>
        <v>0</v>
      </c>
    </row>
    <row r="13" spans="1:24" ht="32.4" customHeight="1" x14ac:dyDescent="0.3">
      <c r="A13" s="32">
        <v>8</v>
      </c>
      <c r="B13" s="33" t="s">
        <v>21</v>
      </c>
      <c r="C13" s="34">
        <f>'[1]TR-1010-20'!M1</f>
        <v>300.96150000000029</v>
      </c>
      <c r="D13" s="34">
        <v>396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6"/>
      <c r="L13" s="35">
        <f t="shared" si="1"/>
        <v>0</v>
      </c>
      <c r="M13" s="35">
        <f t="shared" si="0"/>
        <v>0</v>
      </c>
      <c r="N13" s="35">
        <f t="shared" si="0"/>
        <v>0</v>
      </c>
      <c r="O13" s="35">
        <f t="shared" si="0"/>
        <v>0</v>
      </c>
      <c r="P13" s="35">
        <f t="shared" si="0"/>
        <v>0</v>
      </c>
      <c r="Q13" s="35">
        <f t="shared" si="0"/>
        <v>0</v>
      </c>
      <c r="R13" s="36"/>
      <c r="S13" s="35">
        <f>'[1]TR-1010-20'!U5</f>
        <v>0</v>
      </c>
      <c r="T13" s="35">
        <f>'[1]TR-1010-20'!X5</f>
        <v>0</v>
      </c>
      <c r="U13" s="35">
        <f>'[1]TR-1010-20'!AA5</f>
        <v>0</v>
      </c>
      <c r="V13" s="35">
        <f>'[1]TR-1010-20'!AD5</f>
        <v>0</v>
      </c>
      <c r="W13" s="35">
        <f>'[1]TR-1010-20'!AG5</f>
        <v>0</v>
      </c>
      <c r="X13" s="35">
        <f>'[1]TR-1010-20'!AJ5</f>
        <v>0</v>
      </c>
    </row>
    <row r="14" spans="1:24" ht="32.4" customHeight="1" x14ac:dyDescent="0.3">
      <c r="A14" s="32">
        <v>9</v>
      </c>
      <c r="B14" s="33" t="s">
        <v>22</v>
      </c>
      <c r="C14" s="34">
        <f>'[1]TR-1010-27'!M1</f>
        <v>211.6867</v>
      </c>
      <c r="D14" s="34">
        <v>96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6"/>
      <c r="L14" s="35">
        <f t="shared" si="1"/>
        <v>0</v>
      </c>
      <c r="M14" s="35">
        <f t="shared" si="0"/>
        <v>0</v>
      </c>
      <c r="N14" s="35">
        <f t="shared" si="0"/>
        <v>0</v>
      </c>
      <c r="O14" s="35">
        <f t="shared" si="0"/>
        <v>0</v>
      </c>
      <c r="P14" s="35">
        <f t="shared" si="0"/>
        <v>0</v>
      </c>
      <c r="Q14" s="35">
        <f t="shared" si="0"/>
        <v>0</v>
      </c>
      <c r="R14" s="36"/>
      <c r="S14" s="35">
        <f>'[1]TR-1010-27'!U5</f>
        <v>0</v>
      </c>
      <c r="T14" s="35">
        <f>'[1]TR-1010-27'!X5</f>
        <v>0</v>
      </c>
      <c r="U14" s="35">
        <f>'[1]TR-1010-27'!AA5</f>
        <v>0</v>
      </c>
      <c r="V14" s="35">
        <f>'[1]TR-1010-27'!AD5</f>
        <v>0</v>
      </c>
      <c r="W14" s="35">
        <f>'[1]TR-1010-27'!AG5</f>
        <v>0</v>
      </c>
      <c r="X14" s="35">
        <f>'[1]TR-1010-27'!AJ5</f>
        <v>0</v>
      </c>
    </row>
    <row r="15" spans="1:24" ht="29.4" customHeight="1" x14ac:dyDescent="0.3">
      <c r="A15" s="38" t="s">
        <v>23</v>
      </c>
      <c r="B15" s="39"/>
      <c r="C15" s="40">
        <f>SUM(C6:C14)</f>
        <v>4052.649787376205</v>
      </c>
      <c r="D15" s="40">
        <f>SUM(D6:D14)</f>
        <v>7095</v>
      </c>
      <c r="E15" s="41">
        <v>510.22159999999872</v>
      </c>
      <c r="F15" s="41">
        <v>353.1361999999998</v>
      </c>
      <c r="G15" s="41">
        <v>103.38555000000001</v>
      </c>
      <c r="H15" s="41">
        <v>40.946100000000001</v>
      </c>
      <c r="I15" s="41">
        <v>0</v>
      </c>
      <c r="J15" s="41">
        <v>0</v>
      </c>
      <c r="K15" s="42"/>
      <c r="L15" s="41">
        <f>S15-E15</f>
        <v>19.885215000000926</v>
      </c>
      <c r="M15" s="41">
        <f t="shared" si="0"/>
        <v>-67.567120000000159</v>
      </c>
      <c r="N15" s="41">
        <f t="shared" si="0"/>
        <v>88.395149999999703</v>
      </c>
      <c r="O15" s="41">
        <f t="shared" si="0"/>
        <v>38.549350000000004</v>
      </c>
      <c r="P15" s="41">
        <f t="shared" si="0"/>
        <v>0</v>
      </c>
      <c r="Q15" s="41">
        <f t="shared" si="0"/>
        <v>0</v>
      </c>
      <c r="R15" s="42"/>
      <c r="S15" s="41">
        <f t="shared" ref="S15:X15" si="2">SUM(S6:S14)</f>
        <v>530.10681499999964</v>
      </c>
      <c r="T15" s="41">
        <f t="shared" si="2"/>
        <v>285.56907999999964</v>
      </c>
      <c r="U15" s="41">
        <f t="shared" si="2"/>
        <v>191.78069999999971</v>
      </c>
      <c r="V15" s="41">
        <f t="shared" si="2"/>
        <v>79.495450000000005</v>
      </c>
      <c r="W15" s="41">
        <f t="shared" si="2"/>
        <v>0</v>
      </c>
      <c r="X15" s="41">
        <f t="shared" si="2"/>
        <v>0</v>
      </c>
    </row>
    <row r="16" spans="1:24" ht="37.950000000000003" customHeight="1" x14ac:dyDescent="0.3">
      <c r="A16" s="43" t="s">
        <v>24</v>
      </c>
      <c r="B16" s="43"/>
      <c r="C16" s="44"/>
      <c r="D16" s="44"/>
      <c r="E16" s="45">
        <v>5.9493311773428016E-2</v>
      </c>
      <c r="F16" s="45">
        <v>3.492600354056101E-2</v>
      </c>
      <c r="G16" s="45">
        <v>0</v>
      </c>
      <c r="H16" s="45">
        <v>0</v>
      </c>
      <c r="I16" s="45">
        <v>0</v>
      </c>
      <c r="J16" s="45">
        <v>0</v>
      </c>
      <c r="K16" s="46"/>
      <c r="L16" s="45">
        <f>L15/$C$15</f>
        <v>4.9067193178009968E-3</v>
      </c>
      <c r="M16" s="45">
        <f t="shared" ref="M16:Q16" si="3">M15/$C$15</f>
        <v>-1.6672331325166129E-2</v>
      </c>
      <c r="N16" s="45">
        <f t="shared" si="3"/>
        <v>2.1811692260048237E-2</v>
      </c>
      <c r="O16" s="45">
        <f t="shared" si="3"/>
        <v>9.5121345348120733E-3</v>
      </c>
      <c r="P16" s="45">
        <f t="shared" si="3"/>
        <v>0</v>
      </c>
      <c r="Q16" s="45">
        <f t="shared" si="3"/>
        <v>0</v>
      </c>
      <c r="R16" s="46"/>
      <c r="S16" s="45">
        <f>S15/$C$15</f>
        <v>0.13080499002189999</v>
      </c>
      <c r="T16" s="45">
        <f t="shared" ref="T16:X16" si="4">T15/$C$15</f>
        <v>7.0464781064856027E-2</v>
      </c>
      <c r="U16" s="45">
        <f t="shared" si="4"/>
        <v>4.7322297771050112E-2</v>
      </c>
      <c r="V16" s="45">
        <f t="shared" si="4"/>
        <v>1.9615672256612014E-2</v>
      </c>
      <c r="W16" s="45">
        <f t="shared" si="4"/>
        <v>0</v>
      </c>
      <c r="X16" s="45">
        <f t="shared" si="4"/>
        <v>0</v>
      </c>
    </row>
  </sheetData>
  <autoFilter ref="A5:AA5" xr:uid="{01319BE2-AD23-4912-AAD1-7216C597F5EC}"/>
  <mergeCells count="25">
    <mergeCell ref="X4:X5"/>
    <mergeCell ref="A15:B15"/>
    <mergeCell ref="A16:B16"/>
    <mergeCell ref="Q4:Q5"/>
    <mergeCell ref="S4:S5"/>
    <mergeCell ref="T4:T5"/>
    <mergeCell ref="U4:U5"/>
    <mergeCell ref="V4:V5"/>
    <mergeCell ref="W4:W5"/>
    <mergeCell ref="J4:J5"/>
    <mergeCell ref="L4:L5"/>
    <mergeCell ref="M4:M5"/>
    <mergeCell ref="N4:N5"/>
    <mergeCell ref="O4:O5"/>
    <mergeCell ref="P4:P5"/>
    <mergeCell ref="A1:C4"/>
    <mergeCell ref="D1:D5"/>
    <mergeCell ref="E1:J3"/>
    <mergeCell ref="L1:Q3"/>
    <mergeCell ref="S1:X3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 Group</dc:creator>
  <cp:lastModifiedBy>Enco Group</cp:lastModifiedBy>
  <dcterms:created xsi:type="dcterms:W3CDTF">2026-04-16T09:14:16Z</dcterms:created>
  <dcterms:modified xsi:type="dcterms:W3CDTF">2026-04-16T10:05:43Z</dcterms:modified>
</cp:coreProperties>
</file>