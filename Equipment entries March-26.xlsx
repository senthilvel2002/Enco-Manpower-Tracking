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Manpower Tracking\Enco\"/>
    </mc:Choice>
  </mc:AlternateContent>
  <xr:revisionPtr revIDLastSave="0" documentId="13_ncr:1_{82D65797-6AE7-4B09-9DDE-9A6C04410720}" xr6:coauthVersionLast="47" xr6:coauthVersionMax="47" xr10:uidLastSave="{00000000-0000-0000-0000-000000000000}"/>
  <bookViews>
    <workbookView xWindow="-108" yWindow="-108" windowWidth="23256" windowHeight="12456" xr2:uid="{AE643712-2B78-4F54-8031-A07302D872A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43" i="1" l="1"/>
  <c r="H843" i="1"/>
  <c r="G843" i="1"/>
  <c r="F843" i="1"/>
  <c r="D843" i="1"/>
  <c r="I842" i="1"/>
  <c r="H842" i="1"/>
  <c r="G842" i="1"/>
  <c r="F842" i="1"/>
  <c r="D842" i="1"/>
  <c r="I841" i="1"/>
  <c r="H841" i="1"/>
  <c r="G841" i="1"/>
  <c r="F841" i="1"/>
  <c r="D841" i="1"/>
  <c r="I840" i="1"/>
  <c r="H840" i="1"/>
  <c r="G840" i="1"/>
  <c r="F840" i="1"/>
  <c r="D840" i="1"/>
  <c r="I839" i="1"/>
  <c r="H839" i="1"/>
  <c r="G839" i="1"/>
  <c r="F839" i="1"/>
  <c r="D839" i="1"/>
  <c r="I838" i="1"/>
  <c r="H838" i="1"/>
  <c r="G838" i="1"/>
  <c r="F838" i="1"/>
  <c r="D838" i="1"/>
  <c r="I837" i="1"/>
  <c r="H837" i="1"/>
  <c r="G837" i="1"/>
  <c r="F837" i="1"/>
  <c r="D837" i="1"/>
  <c r="I836" i="1"/>
  <c r="H836" i="1"/>
  <c r="G836" i="1"/>
  <c r="F836" i="1"/>
  <c r="D836" i="1"/>
  <c r="I835" i="1"/>
  <c r="H835" i="1"/>
  <c r="G835" i="1"/>
  <c r="F835" i="1"/>
  <c r="D835" i="1"/>
  <c r="I834" i="1"/>
  <c r="H834" i="1"/>
  <c r="G834" i="1"/>
  <c r="F834" i="1"/>
  <c r="D834" i="1"/>
  <c r="I833" i="1"/>
  <c r="H833" i="1"/>
  <c r="G833" i="1"/>
  <c r="F833" i="1"/>
  <c r="D833" i="1"/>
  <c r="I832" i="1"/>
  <c r="H832" i="1"/>
  <c r="G832" i="1"/>
  <c r="F832" i="1"/>
  <c r="D832" i="1"/>
  <c r="I831" i="1"/>
  <c r="H831" i="1"/>
  <c r="G831" i="1"/>
  <c r="F831" i="1"/>
  <c r="D831" i="1"/>
  <c r="I830" i="1"/>
  <c r="H830" i="1"/>
  <c r="G830" i="1"/>
  <c r="F830" i="1"/>
  <c r="D830" i="1"/>
  <c r="I829" i="1"/>
  <c r="H829" i="1"/>
  <c r="G829" i="1"/>
  <c r="F829" i="1"/>
  <c r="D829" i="1"/>
  <c r="I828" i="1"/>
  <c r="H828" i="1"/>
  <c r="G828" i="1"/>
  <c r="F828" i="1"/>
  <c r="D828" i="1"/>
  <c r="I827" i="1"/>
  <c r="H827" i="1"/>
  <c r="G827" i="1"/>
  <c r="F827" i="1"/>
  <c r="D827" i="1"/>
  <c r="I826" i="1"/>
  <c r="H826" i="1"/>
  <c r="G826" i="1"/>
  <c r="F826" i="1"/>
  <c r="D826" i="1"/>
  <c r="I825" i="1"/>
  <c r="H825" i="1"/>
  <c r="G825" i="1"/>
  <c r="F825" i="1"/>
  <c r="D825" i="1"/>
  <c r="I824" i="1"/>
  <c r="H824" i="1"/>
  <c r="G824" i="1"/>
  <c r="F824" i="1"/>
  <c r="D824" i="1"/>
  <c r="I823" i="1"/>
  <c r="H823" i="1"/>
  <c r="G823" i="1"/>
  <c r="F823" i="1"/>
  <c r="D823" i="1"/>
  <c r="I822" i="1"/>
  <c r="H822" i="1"/>
  <c r="G822" i="1"/>
  <c r="F822" i="1"/>
  <c r="D822" i="1"/>
  <c r="I821" i="1"/>
  <c r="H821" i="1"/>
  <c r="G821" i="1"/>
  <c r="F821" i="1"/>
  <c r="D821" i="1"/>
  <c r="I820" i="1"/>
  <c r="H820" i="1"/>
  <c r="G820" i="1"/>
  <c r="F820" i="1"/>
  <c r="D820" i="1"/>
  <c r="I819" i="1"/>
  <c r="H819" i="1"/>
  <c r="G819" i="1"/>
  <c r="F819" i="1"/>
  <c r="D819" i="1"/>
  <c r="I818" i="1"/>
  <c r="H818" i="1"/>
  <c r="G818" i="1"/>
  <c r="F818" i="1"/>
  <c r="D818" i="1"/>
  <c r="I817" i="1"/>
  <c r="H817" i="1"/>
  <c r="G817" i="1"/>
  <c r="F817" i="1"/>
  <c r="D817" i="1"/>
  <c r="I816" i="1"/>
  <c r="H816" i="1"/>
  <c r="G816" i="1"/>
  <c r="F816" i="1"/>
  <c r="D816" i="1"/>
  <c r="I815" i="1"/>
  <c r="H815" i="1"/>
  <c r="G815" i="1"/>
  <c r="F815" i="1"/>
  <c r="D815" i="1"/>
  <c r="I814" i="1"/>
  <c r="H814" i="1"/>
  <c r="G814" i="1"/>
  <c r="F814" i="1"/>
  <c r="D814" i="1"/>
  <c r="I813" i="1"/>
  <c r="H813" i="1"/>
  <c r="G813" i="1"/>
  <c r="F813" i="1"/>
  <c r="D813" i="1"/>
  <c r="I812" i="1"/>
  <c r="H812" i="1"/>
  <c r="G812" i="1"/>
  <c r="F812" i="1"/>
  <c r="D812" i="1"/>
  <c r="I811" i="1"/>
  <c r="H811" i="1"/>
  <c r="G811" i="1"/>
  <c r="F811" i="1"/>
  <c r="D811" i="1"/>
  <c r="I810" i="1"/>
  <c r="H810" i="1"/>
  <c r="G810" i="1"/>
  <c r="F810" i="1"/>
  <c r="D810" i="1"/>
  <c r="I809" i="1"/>
  <c r="H809" i="1"/>
  <c r="G809" i="1"/>
  <c r="F809" i="1"/>
  <c r="D809" i="1"/>
  <c r="I808" i="1"/>
  <c r="H808" i="1"/>
  <c r="G808" i="1"/>
  <c r="F808" i="1"/>
  <c r="D808" i="1"/>
  <c r="I807" i="1"/>
  <c r="H807" i="1"/>
  <c r="G807" i="1"/>
  <c r="F807" i="1"/>
  <c r="D807" i="1"/>
  <c r="I806" i="1"/>
  <c r="H806" i="1"/>
  <c r="G806" i="1"/>
  <c r="F806" i="1"/>
  <c r="D806" i="1"/>
  <c r="I805" i="1"/>
  <c r="H805" i="1"/>
  <c r="G805" i="1"/>
  <c r="F805" i="1"/>
  <c r="D805" i="1"/>
  <c r="I804" i="1"/>
  <c r="H804" i="1"/>
  <c r="G804" i="1"/>
  <c r="F804" i="1"/>
  <c r="D804" i="1"/>
  <c r="I803" i="1"/>
  <c r="H803" i="1"/>
  <c r="G803" i="1"/>
  <c r="F803" i="1"/>
  <c r="D803" i="1"/>
  <c r="I802" i="1"/>
  <c r="H802" i="1"/>
  <c r="G802" i="1"/>
  <c r="F802" i="1"/>
  <c r="D802" i="1"/>
  <c r="I801" i="1"/>
  <c r="H801" i="1"/>
  <c r="G801" i="1"/>
  <c r="F801" i="1"/>
  <c r="D801" i="1"/>
  <c r="I800" i="1"/>
  <c r="H800" i="1"/>
  <c r="G800" i="1"/>
  <c r="F800" i="1"/>
  <c r="D800" i="1"/>
  <c r="I799" i="1"/>
  <c r="H799" i="1"/>
  <c r="G799" i="1"/>
  <c r="F799" i="1"/>
  <c r="D799" i="1"/>
  <c r="I798" i="1"/>
  <c r="H798" i="1"/>
  <c r="G798" i="1"/>
  <c r="F798" i="1"/>
  <c r="D798" i="1"/>
  <c r="I797" i="1"/>
  <c r="H797" i="1"/>
  <c r="G797" i="1"/>
  <c r="F797" i="1"/>
  <c r="D797" i="1"/>
  <c r="I796" i="1"/>
  <c r="H796" i="1"/>
  <c r="G796" i="1"/>
  <c r="F796" i="1"/>
  <c r="D796" i="1"/>
  <c r="I795" i="1"/>
  <c r="H795" i="1"/>
  <c r="G795" i="1"/>
  <c r="F795" i="1"/>
  <c r="D795" i="1"/>
  <c r="I794" i="1"/>
  <c r="H794" i="1"/>
  <c r="G794" i="1"/>
  <c r="F794" i="1"/>
  <c r="D794" i="1"/>
  <c r="I793" i="1"/>
  <c r="H793" i="1"/>
  <c r="G793" i="1"/>
  <c r="F793" i="1"/>
  <c r="D793" i="1"/>
  <c r="I792" i="1"/>
  <c r="H792" i="1"/>
  <c r="G792" i="1"/>
  <c r="F792" i="1"/>
  <c r="D792" i="1"/>
  <c r="I791" i="1"/>
  <c r="H791" i="1"/>
  <c r="G791" i="1"/>
  <c r="F791" i="1"/>
  <c r="D791" i="1"/>
  <c r="I790" i="1"/>
  <c r="H790" i="1"/>
  <c r="G790" i="1"/>
  <c r="F790" i="1"/>
  <c r="D790" i="1"/>
  <c r="I789" i="1"/>
  <c r="H789" i="1"/>
  <c r="G789" i="1"/>
  <c r="F789" i="1"/>
  <c r="D789" i="1"/>
  <c r="I788" i="1"/>
  <c r="H788" i="1"/>
  <c r="G788" i="1"/>
  <c r="F788" i="1"/>
  <c r="D788" i="1"/>
  <c r="I787" i="1"/>
  <c r="H787" i="1"/>
  <c r="G787" i="1"/>
  <c r="F787" i="1"/>
  <c r="D787" i="1"/>
  <c r="I786" i="1"/>
  <c r="H786" i="1"/>
  <c r="G786" i="1"/>
  <c r="F786" i="1"/>
  <c r="D786" i="1"/>
  <c r="I785" i="1"/>
  <c r="H785" i="1"/>
  <c r="G785" i="1"/>
  <c r="F785" i="1"/>
  <c r="D785" i="1"/>
  <c r="I784" i="1"/>
  <c r="H784" i="1"/>
  <c r="G784" i="1"/>
  <c r="F784" i="1"/>
  <c r="D784" i="1"/>
  <c r="I783" i="1"/>
  <c r="H783" i="1"/>
  <c r="G783" i="1"/>
  <c r="F783" i="1"/>
  <c r="D783" i="1"/>
  <c r="I782" i="1"/>
  <c r="H782" i="1"/>
  <c r="G782" i="1"/>
  <c r="F782" i="1"/>
  <c r="D782" i="1"/>
  <c r="I781" i="1"/>
  <c r="H781" i="1"/>
  <c r="G781" i="1"/>
  <c r="F781" i="1"/>
  <c r="D781" i="1"/>
  <c r="I780" i="1"/>
  <c r="H780" i="1"/>
  <c r="G780" i="1"/>
  <c r="F780" i="1"/>
  <c r="D780" i="1"/>
  <c r="I779" i="1"/>
  <c r="H779" i="1"/>
  <c r="G779" i="1"/>
  <c r="F779" i="1"/>
  <c r="D779" i="1"/>
  <c r="I778" i="1"/>
  <c r="H778" i="1"/>
  <c r="G778" i="1"/>
  <c r="F778" i="1"/>
  <c r="D778" i="1"/>
  <c r="I777" i="1"/>
  <c r="H777" i="1"/>
  <c r="G777" i="1"/>
  <c r="F777" i="1"/>
  <c r="D777" i="1"/>
  <c r="I776" i="1"/>
  <c r="H776" i="1"/>
  <c r="G776" i="1"/>
  <c r="F776" i="1"/>
  <c r="D776" i="1"/>
  <c r="I775" i="1"/>
  <c r="H775" i="1"/>
  <c r="G775" i="1"/>
  <c r="F775" i="1"/>
  <c r="D775" i="1"/>
  <c r="I774" i="1"/>
  <c r="H774" i="1"/>
  <c r="G774" i="1"/>
  <c r="F774" i="1"/>
  <c r="D774" i="1"/>
  <c r="I773" i="1"/>
  <c r="H773" i="1"/>
  <c r="G773" i="1"/>
  <c r="F773" i="1"/>
  <c r="D773" i="1"/>
  <c r="I772" i="1"/>
  <c r="H772" i="1"/>
  <c r="G772" i="1"/>
  <c r="F772" i="1"/>
  <c r="D772" i="1"/>
  <c r="I771" i="1"/>
  <c r="H771" i="1"/>
  <c r="G771" i="1"/>
  <c r="F771" i="1"/>
  <c r="D771" i="1"/>
  <c r="I770" i="1"/>
  <c r="H770" i="1"/>
  <c r="G770" i="1"/>
  <c r="F770" i="1"/>
  <c r="D770" i="1"/>
  <c r="I769" i="1"/>
  <c r="H769" i="1"/>
  <c r="G769" i="1"/>
  <c r="F769" i="1"/>
  <c r="D769" i="1"/>
  <c r="I768" i="1"/>
  <c r="H768" i="1"/>
  <c r="G768" i="1"/>
  <c r="F768" i="1"/>
  <c r="D768" i="1"/>
  <c r="I767" i="1"/>
  <c r="H767" i="1"/>
  <c r="G767" i="1"/>
  <c r="F767" i="1"/>
  <c r="D767" i="1"/>
  <c r="I766" i="1"/>
  <c r="H766" i="1"/>
  <c r="G766" i="1"/>
  <c r="F766" i="1"/>
  <c r="D766" i="1"/>
  <c r="I765" i="1"/>
  <c r="H765" i="1"/>
  <c r="G765" i="1"/>
  <c r="F765" i="1"/>
  <c r="D765" i="1"/>
  <c r="I764" i="1"/>
  <c r="H764" i="1"/>
  <c r="G764" i="1"/>
  <c r="F764" i="1"/>
  <c r="D764" i="1"/>
  <c r="I763" i="1"/>
  <c r="H763" i="1"/>
  <c r="G763" i="1"/>
  <c r="F763" i="1"/>
  <c r="D763" i="1"/>
  <c r="I762" i="1"/>
  <c r="H762" i="1"/>
  <c r="G762" i="1"/>
  <c r="F762" i="1"/>
  <c r="D762" i="1"/>
  <c r="I761" i="1"/>
  <c r="H761" i="1"/>
  <c r="G761" i="1"/>
  <c r="F761" i="1"/>
  <c r="D761" i="1"/>
  <c r="I760" i="1"/>
  <c r="H760" i="1"/>
  <c r="G760" i="1"/>
  <c r="F760" i="1"/>
  <c r="D760" i="1"/>
  <c r="I759" i="1"/>
  <c r="H759" i="1"/>
  <c r="G759" i="1"/>
  <c r="F759" i="1"/>
  <c r="D759" i="1"/>
  <c r="I758" i="1"/>
  <c r="H758" i="1"/>
  <c r="G758" i="1"/>
  <c r="F758" i="1"/>
  <c r="D758" i="1"/>
  <c r="I757" i="1"/>
  <c r="H757" i="1"/>
  <c r="G757" i="1"/>
  <c r="F757" i="1"/>
  <c r="D757" i="1"/>
  <c r="I756" i="1"/>
  <c r="H756" i="1"/>
  <c r="G756" i="1"/>
  <c r="F756" i="1"/>
  <c r="D756" i="1"/>
  <c r="I755" i="1"/>
  <c r="H755" i="1"/>
  <c r="G755" i="1"/>
  <c r="F755" i="1"/>
  <c r="D755" i="1"/>
  <c r="I754" i="1"/>
  <c r="H754" i="1"/>
  <c r="G754" i="1"/>
  <c r="F754" i="1"/>
  <c r="D754" i="1"/>
  <c r="I753" i="1"/>
  <c r="H753" i="1"/>
  <c r="G753" i="1"/>
  <c r="F753" i="1"/>
  <c r="D753" i="1"/>
  <c r="I752" i="1"/>
  <c r="H752" i="1"/>
  <c r="G752" i="1"/>
  <c r="F752" i="1"/>
  <c r="D752" i="1"/>
  <c r="I751" i="1"/>
  <c r="H751" i="1"/>
  <c r="G751" i="1"/>
  <c r="F751" i="1"/>
  <c r="D751" i="1"/>
  <c r="I750" i="1"/>
  <c r="H750" i="1"/>
  <c r="G750" i="1"/>
  <c r="F750" i="1"/>
  <c r="D750" i="1"/>
  <c r="I749" i="1"/>
  <c r="H749" i="1"/>
  <c r="G749" i="1"/>
  <c r="F749" i="1"/>
  <c r="D749" i="1"/>
  <c r="I748" i="1"/>
  <c r="H748" i="1"/>
  <c r="G748" i="1"/>
  <c r="F748" i="1"/>
  <c r="D748" i="1"/>
  <c r="I747" i="1"/>
  <c r="H747" i="1"/>
  <c r="G747" i="1"/>
  <c r="F747" i="1"/>
  <c r="D747" i="1"/>
  <c r="I746" i="1"/>
  <c r="H746" i="1"/>
  <c r="G746" i="1"/>
  <c r="F746" i="1"/>
  <c r="D746" i="1"/>
  <c r="I745" i="1"/>
  <c r="H745" i="1"/>
  <c r="G745" i="1"/>
  <c r="F745" i="1"/>
  <c r="D745" i="1"/>
  <c r="I744" i="1"/>
  <c r="H744" i="1"/>
  <c r="G744" i="1"/>
  <c r="F744" i="1"/>
  <c r="D744" i="1"/>
  <c r="I743" i="1"/>
  <c r="H743" i="1"/>
  <c r="G743" i="1"/>
  <c r="F743" i="1"/>
  <c r="D743" i="1"/>
  <c r="I742" i="1"/>
  <c r="H742" i="1"/>
  <c r="G742" i="1"/>
  <c r="F742" i="1"/>
  <c r="D742" i="1"/>
  <c r="I741" i="1"/>
  <c r="H741" i="1"/>
  <c r="G741" i="1"/>
  <c r="F741" i="1"/>
  <c r="D741" i="1"/>
  <c r="I740" i="1"/>
  <c r="H740" i="1"/>
  <c r="G740" i="1"/>
  <c r="F740" i="1"/>
  <c r="D740" i="1"/>
  <c r="I739" i="1"/>
  <c r="H739" i="1"/>
  <c r="G739" i="1"/>
  <c r="F739" i="1"/>
  <c r="D739" i="1"/>
  <c r="I738" i="1"/>
  <c r="H738" i="1"/>
  <c r="G738" i="1"/>
  <c r="F738" i="1"/>
  <c r="D738" i="1"/>
  <c r="I737" i="1"/>
  <c r="H737" i="1"/>
  <c r="G737" i="1"/>
  <c r="F737" i="1"/>
  <c r="D737" i="1"/>
  <c r="I736" i="1"/>
  <c r="H736" i="1"/>
  <c r="G736" i="1"/>
  <c r="F736" i="1"/>
  <c r="D736" i="1"/>
  <c r="I735" i="1"/>
  <c r="H735" i="1"/>
  <c r="G735" i="1"/>
  <c r="F735" i="1"/>
  <c r="D735" i="1"/>
  <c r="I734" i="1"/>
  <c r="H734" i="1"/>
  <c r="G734" i="1"/>
  <c r="F734" i="1"/>
  <c r="D734" i="1"/>
  <c r="I733" i="1"/>
  <c r="H733" i="1"/>
  <c r="G733" i="1"/>
  <c r="F733" i="1"/>
  <c r="D733" i="1"/>
  <c r="I732" i="1"/>
  <c r="H732" i="1"/>
  <c r="G732" i="1"/>
  <c r="F732" i="1"/>
  <c r="D732" i="1"/>
  <c r="I731" i="1"/>
  <c r="H731" i="1"/>
  <c r="G731" i="1"/>
  <c r="F731" i="1"/>
  <c r="D731" i="1"/>
  <c r="I730" i="1"/>
  <c r="H730" i="1"/>
  <c r="G730" i="1"/>
  <c r="F730" i="1"/>
  <c r="D730" i="1"/>
  <c r="I729" i="1"/>
  <c r="H729" i="1"/>
  <c r="G729" i="1"/>
  <c r="F729" i="1"/>
  <c r="D729" i="1"/>
  <c r="I728" i="1"/>
  <c r="H728" i="1"/>
  <c r="G728" i="1"/>
  <c r="F728" i="1"/>
  <c r="D728" i="1"/>
  <c r="I727" i="1"/>
  <c r="H727" i="1"/>
  <c r="G727" i="1"/>
  <c r="F727" i="1"/>
  <c r="D727" i="1"/>
  <c r="I726" i="1"/>
  <c r="H726" i="1"/>
  <c r="G726" i="1"/>
  <c r="F726" i="1"/>
  <c r="D726" i="1"/>
  <c r="I725" i="1"/>
  <c r="H725" i="1"/>
  <c r="G725" i="1"/>
  <c r="F725" i="1"/>
  <c r="D725" i="1"/>
  <c r="I724" i="1"/>
  <c r="H724" i="1"/>
  <c r="G724" i="1"/>
  <c r="F724" i="1"/>
  <c r="D724" i="1"/>
  <c r="I723" i="1"/>
  <c r="H723" i="1"/>
  <c r="G723" i="1"/>
  <c r="F723" i="1"/>
  <c r="D723" i="1"/>
  <c r="I722" i="1"/>
  <c r="H722" i="1"/>
  <c r="G722" i="1"/>
  <c r="F722" i="1"/>
  <c r="D722" i="1"/>
  <c r="I721" i="1"/>
  <c r="H721" i="1"/>
  <c r="G721" i="1"/>
  <c r="F721" i="1"/>
  <c r="D721" i="1"/>
  <c r="I720" i="1"/>
  <c r="H720" i="1"/>
  <c r="G720" i="1"/>
  <c r="F720" i="1"/>
  <c r="D720" i="1"/>
  <c r="I719" i="1"/>
  <c r="H719" i="1"/>
  <c r="G719" i="1"/>
  <c r="F719" i="1"/>
  <c r="D719" i="1"/>
  <c r="I718" i="1"/>
  <c r="H718" i="1"/>
  <c r="G718" i="1"/>
  <c r="F718" i="1"/>
  <c r="D718" i="1"/>
  <c r="I717" i="1"/>
  <c r="H717" i="1"/>
  <c r="G717" i="1"/>
  <c r="F717" i="1"/>
  <c r="D717" i="1"/>
  <c r="I716" i="1"/>
  <c r="H716" i="1"/>
  <c r="G716" i="1"/>
  <c r="F716" i="1"/>
  <c r="D716" i="1"/>
  <c r="I715" i="1"/>
  <c r="H715" i="1"/>
  <c r="G715" i="1"/>
  <c r="F715" i="1"/>
  <c r="D715" i="1"/>
  <c r="I714" i="1"/>
  <c r="H714" i="1"/>
  <c r="G714" i="1"/>
  <c r="F714" i="1"/>
  <c r="D714" i="1"/>
  <c r="I713" i="1"/>
  <c r="H713" i="1"/>
  <c r="G713" i="1"/>
  <c r="F713" i="1"/>
  <c r="D713" i="1"/>
  <c r="I712" i="1"/>
  <c r="H712" i="1"/>
  <c r="G712" i="1"/>
  <c r="F712" i="1"/>
  <c r="D712" i="1"/>
  <c r="I711" i="1"/>
  <c r="H711" i="1"/>
  <c r="G711" i="1"/>
  <c r="F711" i="1"/>
  <c r="D711" i="1"/>
  <c r="I710" i="1"/>
  <c r="H710" i="1"/>
  <c r="G710" i="1"/>
  <c r="F710" i="1"/>
  <c r="D710" i="1"/>
  <c r="I709" i="1"/>
  <c r="H709" i="1"/>
  <c r="G709" i="1"/>
  <c r="F709" i="1"/>
  <c r="D709" i="1"/>
  <c r="I708" i="1"/>
  <c r="H708" i="1"/>
  <c r="G708" i="1"/>
  <c r="F708" i="1"/>
  <c r="D708" i="1"/>
  <c r="I707" i="1"/>
  <c r="H707" i="1"/>
  <c r="G707" i="1"/>
  <c r="F707" i="1"/>
  <c r="D707" i="1"/>
  <c r="I706" i="1"/>
  <c r="H706" i="1"/>
  <c r="G706" i="1"/>
  <c r="F706" i="1"/>
  <c r="D706" i="1"/>
  <c r="I705" i="1"/>
  <c r="H705" i="1"/>
  <c r="G705" i="1"/>
  <c r="F705" i="1"/>
  <c r="D705" i="1"/>
  <c r="I704" i="1"/>
  <c r="H704" i="1"/>
  <c r="G704" i="1"/>
  <c r="F704" i="1"/>
  <c r="D704" i="1"/>
  <c r="I703" i="1"/>
  <c r="H703" i="1"/>
  <c r="G703" i="1"/>
  <c r="F703" i="1"/>
  <c r="D703" i="1"/>
  <c r="I702" i="1"/>
  <c r="H702" i="1"/>
  <c r="G702" i="1"/>
  <c r="F702" i="1"/>
  <c r="D702" i="1"/>
  <c r="I701" i="1"/>
  <c r="H701" i="1"/>
  <c r="G701" i="1"/>
  <c r="F701" i="1"/>
  <c r="D701" i="1"/>
  <c r="I700" i="1"/>
  <c r="H700" i="1"/>
  <c r="G700" i="1"/>
  <c r="F700" i="1"/>
  <c r="D700" i="1"/>
  <c r="I699" i="1"/>
  <c r="H699" i="1"/>
  <c r="G699" i="1"/>
  <c r="F699" i="1"/>
  <c r="D699" i="1"/>
  <c r="I698" i="1"/>
  <c r="H698" i="1"/>
  <c r="G698" i="1"/>
  <c r="F698" i="1"/>
  <c r="D698" i="1"/>
  <c r="I697" i="1"/>
  <c r="H697" i="1"/>
  <c r="G697" i="1"/>
  <c r="F697" i="1"/>
  <c r="D697" i="1"/>
  <c r="I696" i="1"/>
  <c r="H696" i="1"/>
  <c r="G696" i="1"/>
  <c r="F696" i="1"/>
  <c r="D696" i="1"/>
  <c r="I695" i="1"/>
  <c r="H695" i="1"/>
  <c r="G695" i="1"/>
  <c r="F695" i="1"/>
  <c r="D695" i="1"/>
  <c r="I694" i="1"/>
  <c r="H694" i="1"/>
  <c r="G694" i="1"/>
  <c r="F694" i="1"/>
  <c r="D694" i="1"/>
  <c r="I693" i="1"/>
  <c r="H693" i="1"/>
  <c r="G693" i="1"/>
  <c r="F693" i="1"/>
  <c r="D693" i="1"/>
  <c r="I692" i="1"/>
  <c r="H692" i="1"/>
  <c r="G692" i="1"/>
  <c r="F692" i="1"/>
  <c r="D692" i="1"/>
  <c r="I691" i="1"/>
  <c r="H691" i="1"/>
  <c r="G691" i="1"/>
  <c r="F691" i="1"/>
  <c r="D691" i="1"/>
  <c r="I690" i="1"/>
  <c r="H690" i="1"/>
  <c r="G690" i="1"/>
  <c r="F690" i="1"/>
  <c r="D690" i="1"/>
  <c r="I689" i="1"/>
  <c r="H689" i="1"/>
  <c r="G689" i="1"/>
  <c r="F689" i="1"/>
  <c r="D689" i="1"/>
  <c r="I688" i="1"/>
  <c r="H688" i="1"/>
  <c r="G688" i="1"/>
  <c r="F688" i="1"/>
  <c r="D688" i="1"/>
  <c r="I687" i="1"/>
  <c r="H687" i="1"/>
  <c r="G687" i="1"/>
  <c r="F687" i="1"/>
  <c r="D687" i="1"/>
  <c r="I686" i="1"/>
  <c r="H686" i="1"/>
  <c r="G686" i="1"/>
  <c r="F686" i="1"/>
  <c r="D686" i="1"/>
  <c r="I685" i="1"/>
  <c r="H685" i="1"/>
  <c r="G685" i="1"/>
  <c r="F685" i="1"/>
  <c r="D685" i="1"/>
  <c r="I684" i="1"/>
  <c r="H684" i="1"/>
  <c r="G684" i="1"/>
  <c r="F684" i="1"/>
  <c r="D684" i="1"/>
  <c r="I683" i="1"/>
  <c r="H683" i="1"/>
  <c r="G683" i="1"/>
  <c r="F683" i="1"/>
  <c r="D683" i="1"/>
  <c r="I682" i="1"/>
  <c r="H682" i="1"/>
  <c r="G682" i="1"/>
  <c r="F682" i="1"/>
  <c r="D682" i="1"/>
  <c r="I681" i="1"/>
  <c r="H681" i="1"/>
  <c r="G681" i="1"/>
  <c r="F681" i="1"/>
  <c r="D681" i="1"/>
  <c r="I680" i="1"/>
  <c r="H680" i="1"/>
  <c r="G680" i="1"/>
  <c r="F680" i="1"/>
  <c r="D680" i="1"/>
  <c r="I679" i="1"/>
  <c r="H679" i="1"/>
  <c r="G679" i="1"/>
  <c r="F679" i="1"/>
  <c r="D679" i="1"/>
  <c r="I678" i="1"/>
  <c r="H678" i="1"/>
  <c r="G678" i="1"/>
  <c r="F678" i="1"/>
  <c r="D678" i="1"/>
  <c r="I677" i="1"/>
  <c r="H677" i="1"/>
  <c r="G677" i="1"/>
  <c r="F677" i="1"/>
  <c r="D677" i="1"/>
  <c r="I676" i="1"/>
  <c r="H676" i="1"/>
  <c r="G676" i="1"/>
  <c r="F676" i="1"/>
  <c r="D676" i="1"/>
  <c r="I675" i="1"/>
  <c r="H675" i="1"/>
  <c r="G675" i="1"/>
  <c r="F675" i="1"/>
  <c r="D675" i="1"/>
  <c r="I674" i="1"/>
  <c r="H674" i="1"/>
  <c r="G674" i="1"/>
  <c r="F674" i="1"/>
  <c r="D674" i="1"/>
  <c r="I673" i="1"/>
  <c r="H673" i="1"/>
  <c r="G673" i="1"/>
  <c r="F673" i="1"/>
  <c r="D673" i="1"/>
  <c r="I672" i="1"/>
  <c r="H672" i="1"/>
  <c r="G672" i="1"/>
  <c r="F672" i="1"/>
  <c r="D672" i="1"/>
  <c r="I671" i="1"/>
  <c r="H671" i="1"/>
  <c r="G671" i="1"/>
  <c r="F671" i="1"/>
  <c r="D671" i="1"/>
  <c r="I670" i="1"/>
  <c r="H670" i="1"/>
  <c r="G670" i="1"/>
  <c r="F670" i="1"/>
  <c r="D670" i="1"/>
  <c r="I669" i="1"/>
  <c r="H669" i="1"/>
  <c r="G669" i="1"/>
  <c r="F669" i="1"/>
  <c r="D669" i="1"/>
  <c r="I668" i="1"/>
  <c r="H668" i="1"/>
  <c r="G668" i="1"/>
  <c r="F668" i="1"/>
  <c r="D668" i="1"/>
  <c r="I667" i="1"/>
  <c r="H667" i="1"/>
  <c r="G667" i="1"/>
  <c r="F667" i="1"/>
  <c r="D667" i="1"/>
  <c r="I666" i="1"/>
  <c r="H666" i="1"/>
  <c r="G666" i="1"/>
  <c r="F666" i="1"/>
  <c r="D666" i="1"/>
  <c r="I665" i="1"/>
  <c r="H665" i="1"/>
  <c r="G665" i="1"/>
  <c r="F665" i="1"/>
  <c r="D665" i="1"/>
  <c r="I664" i="1"/>
  <c r="H664" i="1"/>
  <c r="G664" i="1"/>
  <c r="F664" i="1"/>
  <c r="D664" i="1"/>
  <c r="I663" i="1"/>
  <c r="H663" i="1"/>
  <c r="G663" i="1"/>
  <c r="F663" i="1"/>
  <c r="D663" i="1"/>
  <c r="I662" i="1"/>
  <c r="H662" i="1"/>
  <c r="G662" i="1"/>
  <c r="F662" i="1"/>
  <c r="D662" i="1"/>
  <c r="I661" i="1"/>
  <c r="H661" i="1"/>
  <c r="G661" i="1"/>
  <c r="F661" i="1"/>
  <c r="D661" i="1"/>
  <c r="I660" i="1"/>
  <c r="H660" i="1"/>
  <c r="G660" i="1"/>
  <c r="F660" i="1"/>
  <c r="D660" i="1"/>
  <c r="I659" i="1"/>
  <c r="H659" i="1"/>
  <c r="G659" i="1"/>
  <c r="F659" i="1"/>
  <c r="D659" i="1"/>
  <c r="I658" i="1"/>
  <c r="H658" i="1"/>
  <c r="G658" i="1"/>
  <c r="F658" i="1"/>
  <c r="D658" i="1"/>
  <c r="I657" i="1"/>
  <c r="H657" i="1"/>
  <c r="G657" i="1"/>
  <c r="F657" i="1"/>
  <c r="D657" i="1"/>
  <c r="I656" i="1"/>
  <c r="H656" i="1"/>
  <c r="G656" i="1"/>
  <c r="F656" i="1"/>
  <c r="D656" i="1"/>
  <c r="I655" i="1"/>
  <c r="H655" i="1"/>
  <c r="G655" i="1"/>
  <c r="F655" i="1"/>
  <c r="D655" i="1"/>
  <c r="I654" i="1"/>
  <c r="H654" i="1"/>
  <c r="G654" i="1"/>
  <c r="F654" i="1"/>
  <c r="D654" i="1"/>
  <c r="I653" i="1"/>
  <c r="H653" i="1"/>
  <c r="G653" i="1"/>
  <c r="F653" i="1"/>
  <c r="D653" i="1"/>
  <c r="I652" i="1"/>
  <c r="H652" i="1"/>
  <c r="G652" i="1"/>
  <c r="F652" i="1"/>
  <c r="D652" i="1"/>
  <c r="I651" i="1"/>
  <c r="H651" i="1"/>
  <c r="G651" i="1"/>
  <c r="F651" i="1"/>
  <c r="D651" i="1"/>
  <c r="I650" i="1"/>
  <c r="H650" i="1"/>
  <c r="G650" i="1"/>
  <c r="F650" i="1"/>
  <c r="D650" i="1"/>
  <c r="I649" i="1"/>
  <c r="H649" i="1"/>
  <c r="G649" i="1"/>
  <c r="F649" i="1"/>
  <c r="D649" i="1"/>
  <c r="I648" i="1"/>
  <c r="H648" i="1"/>
  <c r="G648" i="1"/>
  <c r="F648" i="1"/>
  <c r="D648" i="1"/>
  <c r="I647" i="1"/>
  <c r="H647" i="1"/>
  <c r="G647" i="1"/>
  <c r="F647" i="1"/>
  <c r="D647" i="1"/>
  <c r="I646" i="1"/>
  <c r="H646" i="1"/>
  <c r="G646" i="1"/>
  <c r="F646" i="1"/>
  <c r="D646" i="1"/>
  <c r="I645" i="1"/>
  <c r="H645" i="1"/>
  <c r="G645" i="1"/>
  <c r="F645" i="1"/>
  <c r="D645" i="1"/>
  <c r="I644" i="1"/>
  <c r="H644" i="1"/>
  <c r="G644" i="1"/>
  <c r="F644" i="1"/>
  <c r="D644" i="1"/>
  <c r="I643" i="1"/>
  <c r="H643" i="1"/>
  <c r="G643" i="1"/>
  <c r="F643" i="1"/>
  <c r="D643" i="1"/>
  <c r="I642" i="1"/>
  <c r="H642" i="1"/>
  <c r="G642" i="1"/>
  <c r="F642" i="1"/>
  <c r="D642" i="1"/>
  <c r="I641" i="1"/>
  <c r="H641" i="1"/>
  <c r="G641" i="1"/>
  <c r="F641" i="1"/>
  <c r="D641" i="1"/>
  <c r="I640" i="1"/>
  <c r="H640" i="1"/>
  <c r="G640" i="1"/>
  <c r="F640" i="1"/>
  <c r="D640" i="1"/>
  <c r="I639" i="1"/>
  <c r="H639" i="1"/>
  <c r="G639" i="1"/>
  <c r="F639" i="1"/>
  <c r="D639" i="1"/>
  <c r="I638" i="1"/>
  <c r="H638" i="1"/>
  <c r="G638" i="1"/>
  <c r="F638" i="1"/>
  <c r="D638" i="1"/>
  <c r="I637" i="1"/>
  <c r="H637" i="1"/>
  <c r="G637" i="1"/>
  <c r="F637" i="1"/>
  <c r="D637" i="1"/>
  <c r="I636" i="1"/>
  <c r="H636" i="1"/>
  <c r="G636" i="1"/>
  <c r="F636" i="1"/>
  <c r="D636" i="1"/>
  <c r="I635" i="1"/>
  <c r="H635" i="1"/>
  <c r="G635" i="1"/>
  <c r="F635" i="1"/>
  <c r="D635" i="1"/>
  <c r="I634" i="1"/>
  <c r="H634" i="1"/>
  <c r="G634" i="1"/>
  <c r="F634" i="1"/>
  <c r="D634" i="1"/>
  <c r="I633" i="1"/>
  <c r="H633" i="1"/>
  <c r="G633" i="1"/>
  <c r="F633" i="1"/>
  <c r="D633" i="1"/>
  <c r="I632" i="1"/>
  <c r="H632" i="1"/>
  <c r="G632" i="1"/>
  <c r="F632" i="1"/>
  <c r="D632" i="1"/>
  <c r="I631" i="1"/>
  <c r="H631" i="1"/>
  <c r="G631" i="1"/>
  <c r="F631" i="1"/>
  <c r="D631" i="1"/>
  <c r="I630" i="1"/>
  <c r="H630" i="1"/>
  <c r="G630" i="1"/>
  <c r="F630" i="1"/>
  <c r="D630" i="1"/>
  <c r="I629" i="1"/>
  <c r="H629" i="1"/>
  <c r="G629" i="1"/>
  <c r="F629" i="1"/>
  <c r="D629" i="1"/>
  <c r="I628" i="1"/>
  <c r="H628" i="1"/>
  <c r="G628" i="1"/>
  <c r="F628" i="1"/>
  <c r="D628" i="1"/>
  <c r="I627" i="1"/>
  <c r="H627" i="1"/>
  <c r="G627" i="1"/>
  <c r="F627" i="1"/>
  <c r="D627" i="1"/>
  <c r="I626" i="1"/>
  <c r="H626" i="1"/>
  <c r="G626" i="1"/>
  <c r="F626" i="1"/>
  <c r="D626" i="1"/>
  <c r="I625" i="1"/>
  <c r="H625" i="1"/>
  <c r="G625" i="1"/>
  <c r="F625" i="1"/>
  <c r="D625" i="1"/>
  <c r="I624" i="1"/>
  <c r="H624" i="1"/>
  <c r="G624" i="1"/>
  <c r="F624" i="1"/>
  <c r="D624" i="1"/>
  <c r="I623" i="1"/>
  <c r="H623" i="1"/>
  <c r="G623" i="1"/>
  <c r="F623" i="1"/>
  <c r="D623" i="1"/>
  <c r="I622" i="1"/>
  <c r="H622" i="1"/>
  <c r="G622" i="1"/>
  <c r="F622" i="1"/>
  <c r="D622" i="1"/>
  <c r="I621" i="1"/>
  <c r="H621" i="1"/>
  <c r="G621" i="1"/>
  <c r="F621" i="1"/>
  <c r="D621" i="1"/>
  <c r="I620" i="1"/>
  <c r="H620" i="1"/>
  <c r="G620" i="1"/>
  <c r="F620" i="1"/>
  <c r="D620" i="1"/>
  <c r="I619" i="1"/>
  <c r="H619" i="1"/>
  <c r="G619" i="1"/>
  <c r="F619" i="1"/>
  <c r="D619" i="1"/>
  <c r="I618" i="1"/>
  <c r="H618" i="1"/>
  <c r="G618" i="1"/>
  <c r="F618" i="1"/>
  <c r="D618" i="1"/>
  <c r="I617" i="1"/>
  <c r="H617" i="1"/>
  <c r="G617" i="1"/>
  <c r="F617" i="1"/>
  <c r="D617" i="1"/>
  <c r="I616" i="1"/>
  <c r="H616" i="1"/>
  <c r="G616" i="1"/>
  <c r="F616" i="1"/>
  <c r="D616" i="1"/>
  <c r="I615" i="1"/>
  <c r="H615" i="1"/>
  <c r="G615" i="1"/>
  <c r="F615" i="1"/>
  <c r="D615" i="1"/>
  <c r="I614" i="1"/>
  <c r="H614" i="1"/>
  <c r="G614" i="1"/>
  <c r="F614" i="1"/>
  <c r="D614" i="1"/>
  <c r="I613" i="1"/>
  <c r="H613" i="1"/>
  <c r="G613" i="1"/>
  <c r="F613" i="1"/>
  <c r="D613" i="1"/>
  <c r="I612" i="1"/>
  <c r="H612" i="1"/>
  <c r="G612" i="1"/>
  <c r="F612" i="1"/>
  <c r="D612" i="1"/>
  <c r="I611" i="1"/>
  <c r="H611" i="1"/>
  <c r="G611" i="1"/>
  <c r="F611" i="1"/>
  <c r="D611" i="1"/>
  <c r="I610" i="1"/>
  <c r="H610" i="1"/>
  <c r="G610" i="1"/>
  <c r="F610" i="1"/>
  <c r="D610" i="1"/>
  <c r="I609" i="1"/>
  <c r="H609" i="1"/>
  <c r="G609" i="1"/>
  <c r="F609" i="1"/>
  <c r="D609" i="1"/>
  <c r="I608" i="1"/>
  <c r="H608" i="1"/>
  <c r="G608" i="1"/>
  <c r="F608" i="1"/>
  <c r="D608" i="1"/>
  <c r="I607" i="1"/>
  <c r="H607" i="1"/>
  <c r="G607" i="1"/>
  <c r="F607" i="1"/>
  <c r="D607" i="1"/>
  <c r="I606" i="1"/>
  <c r="H606" i="1"/>
  <c r="G606" i="1"/>
  <c r="F606" i="1"/>
  <c r="D606" i="1"/>
  <c r="I605" i="1"/>
  <c r="H605" i="1"/>
  <c r="G605" i="1"/>
  <c r="F605" i="1"/>
  <c r="D605" i="1"/>
  <c r="I604" i="1"/>
  <c r="H604" i="1"/>
  <c r="G604" i="1"/>
  <c r="F604" i="1"/>
  <c r="D604" i="1"/>
  <c r="I603" i="1"/>
  <c r="H603" i="1"/>
  <c r="G603" i="1"/>
  <c r="F603" i="1"/>
  <c r="D603" i="1"/>
  <c r="I602" i="1"/>
  <c r="H602" i="1"/>
  <c r="G602" i="1"/>
  <c r="F602" i="1"/>
  <c r="D602" i="1"/>
  <c r="I601" i="1"/>
  <c r="H601" i="1"/>
  <c r="G601" i="1"/>
  <c r="F601" i="1"/>
  <c r="D601" i="1"/>
  <c r="I600" i="1"/>
  <c r="H600" i="1"/>
  <c r="G600" i="1"/>
  <c r="F600" i="1"/>
  <c r="D600" i="1"/>
  <c r="I599" i="1"/>
  <c r="H599" i="1"/>
  <c r="G599" i="1"/>
  <c r="F599" i="1"/>
  <c r="D599" i="1"/>
  <c r="I598" i="1"/>
  <c r="H598" i="1"/>
  <c r="G598" i="1"/>
  <c r="F598" i="1"/>
  <c r="D598" i="1"/>
  <c r="I597" i="1"/>
  <c r="H597" i="1"/>
  <c r="G597" i="1"/>
  <c r="F597" i="1"/>
  <c r="D597" i="1"/>
  <c r="I596" i="1"/>
  <c r="H596" i="1"/>
  <c r="G596" i="1"/>
  <c r="F596" i="1"/>
  <c r="D596" i="1"/>
  <c r="I595" i="1"/>
  <c r="H595" i="1"/>
  <c r="G595" i="1"/>
  <c r="F595" i="1"/>
  <c r="D595" i="1"/>
  <c r="I594" i="1"/>
  <c r="H594" i="1"/>
  <c r="G594" i="1"/>
  <c r="F594" i="1"/>
  <c r="D594" i="1"/>
  <c r="I593" i="1"/>
  <c r="H593" i="1"/>
  <c r="G593" i="1"/>
  <c r="F593" i="1"/>
  <c r="D593" i="1"/>
  <c r="I592" i="1"/>
  <c r="H592" i="1"/>
  <c r="G592" i="1"/>
  <c r="F592" i="1"/>
  <c r="D592" i="1"/>
  <c r="I591" i="1"/>
  <c r="H591" i="1"/>
  <c r="G591" i="1"/>
  <c r="F591" i="1"/>
  <c r="D591" i="1"/>
  <c r="I590" i="1"/>
  <c r="H590" i="1"/>
  <c r="G590" i="1"/>
  <c r="F590" i="1"/>
  <c r="D590" i="1"/>
  <c r="I589" i="1"/>
  <c r="H589" i="1"/>
  <c r="G589" i="1"/>
  <c r="F589" i="1"/>
  <c r="D589" i="1"/>
  <c r="I588" i="1"/>
  <c r="H588" i="1"/>
  <c r="G588" i="1"/>
  <c r="F588" i="1"/>
  <c r="D588" i="1"/>
  <c r="I587" i="1"/>
  <c r="H587" i="1"/>
  <c r="G587" i="1"/>
  <c r="F587" i="1"/>
  <c r="D587" i="1"/>
  <c r="I586" i="1"/>
  <c r="H586" i="1"/>
  <c r="G586" i="1"/>
  <c r="F586" i="1"/>
  <c r="D586" i="1"/>
  <c r="I585" i="1"/>
  <c r="H585" i="1"/>
  <c r="G585" i="1"/>
  <c r="F585" i="1"/>
  <c r="D585" i="1"/>
  <c r="I584" i="1"/>
  <c r="H584" i="1"/>
  <c r="G584" i="1"/>
  <c r="F584" i="1"/>
  <c r="D584" i="1"/>
  <c r="I583" i="1"/>
  <c r="H583" i="1"/>
  <c r="G583" i="1"/>
  <c r="F583" i="1"/>
  <c r="D583" i="1"/>
  <c r="I582" i="1"/>
  <c r="H582" i="1"/>
  <c r="G582" i="1"/>
  <c r="F582" i="1"/>
  <c r="D582" i="1"/>
  <c r="I581" i="1"/>
  <c r="H581" i="1"/>
  <c r="G581" i="1"/>
  <c r="F581" i="1"/>
  <c r="D581" i="1"/>
  <c r="I580" i="1"/>
  <c r="H580" i="1"/>
  <c r="G580" i="1"/>
  <c r="F580" i="1"/>
  <c r="D580" i="1"/>
  <c r="I579" i="1"/>
  <c r="H579" i="1"/>
  <c r="G579" i="1"/>
  <c r="F579" i="1"/>
  <c r="D579" i="1"/>
  <c r="I578" i="1"/>
  <c r="H578" i="1"/>
  <c r="G578" i="1"/>
  <c r="F578" i="1"/>
  <c r="D578" i="1"/>
  <c r="I577" i="1"/>
  <c r="H577" i="1"/>
  <c r="G577" i="1"/>
  <c r="F577" i="1"/>
  <c r="D577" i="1"/>
  <c r="I576" i="1"/>
  <c r="H576" i="1"/>
  <c r="G576" i="1"/>
  <c r="F576" i="1"/>
  <c r="D576" i="1"/>
  <c r="I575" i="1"/>
  <c r="H575" i="1"/>
  <c r="G575" i="1"/>
  <c r="F575" i="1"/>
  <c r="D575" i="1"/>
  <c r="I574" i="1"/>
  <c r="H574" i="1"/>
  <c r="G574" i="1"/>
  <c r="F574" i="1"/>
  <c r="D574" i="1"/>
  <c r="I573" i="1"/>
  <c r="H573" i="1"/>
  <c r="G573" i="1"/>
  <c r="F573" i="1"/>
  <c r="D573" i="1"/>
  <c r="I572" i="1"/>
  <c r="H572" i="1"/>
  <c r="G572" i="1"/>
  <c r="F572" i="1"/>
  <c r="D572" i="1"/>
  <c r="I571" i="1"/>
  <c r="H571" i="1"/>
  <c r="G571" i="1"/>
  <c r="F571" i="1"/>
  <c r="D571" i="1"/>
  <c r="I570" i="1"/>
  <c r="H570" i="1"/>
  <c r="G570" i="1"/>
  <c r="F570" i="1"/>
  <c r="D570" i="1"/>
  <c r="I569" i="1"/>
  <c r="H569" i="1"/>
  <c r="G569" i="1"/>
  <c r="F569" i="1"/>
  <c r="D569" i="1"/>
  <c r="I568" i="1"/>
  <c r="H568" i="1"/>
  <c r="G568" i="1"/>
  <c r="F568" i="1"/>
  <c r="D568" i="1"/>
  <c r="I567" i="1"/>
  <c r="H567" i="1"/>
  <c r="G567" i="1"/>
  <c r="F567" i="1"/>
  <c r="D567" i="1"/>
  <c r="I566" i="1"/>
  <c r="H566" i="1"/>
  <c r="G566" i="1"/>
  <c r="F566" i="1"/>
  <c r="D566" i="1"/>
  <c r="I565" i="1"/>
  <c r="H565" i="1"/>
  <c r="G565" i="1"/>
  <c r="F565" i="1"/>
  <c r="D565" i="1"/>
  <c r="I564" i="1"/>
  <c r="H564" i="1"/>
  <c r="G564" i="1"/>
  <c r="F564" i="1"/>
  <c r="D564" i="1"/>
  <c r="I563" i="1"/>
  <c r="H563" i="1"/>
  <c r="G563" i="1"/>
  <c r="F563" i="1"/>
  <c r="D563" i="1"/>
  <c r="I562" i="1"/>
  <c r="H562" i="1"/>
  <c r="G562" i="1"/>
  <c r="F562" i="1"/>
  <c r="D562" i="1"/>
  <c r="I561" i="1"/>
  <c r="H561" i="1"/>
  <c r="G561" i="1"/>
  <c r="F561" i="1"/>
  <c r="D561" i="1"/>
  <c r="I560" i="1"/>
  <c r="H560" i="1"/>
  <c r="G560" i="1"/>
  <c r="F560" i="1"/>
  <c r="D560" i="1"/>
  <c r="I559" i="1"/>
  <c r="H559" i="1"/>
  <c r="G559" i="1"/>
  <c r="F559" i="1"/>
  <c r="D559" i="1"/>
  <c r="I558" i="1"/>
  <c r="H558" i="1"/>
  <c r="G558" i="1"/>
  <c r="F558" i="1"/>
  <c r="D558" i="1"/>
  <c r="I557" i="1"/>
  <c r="H557" i="1"/>
  <c r="G557" i="1"/>
  <c r="F557" i="1"/>
  <c r="D557" i="1"/>
  <c r="I556" i="1"/>
  <c r="H556" i="1"/>
  <c r="G556" i="1"/>
  <c r="F556" i="1"/>
  <c r="D556" i="1"/>
  <c r="I555" i="1"/>
  <c r="H555" i="1"/>
  <c r="G555" i="1"/>
  <c r="F555" i="1"/>
  <c r="D555" i="1"/>
  <c r="I554" i="1"/>
  <c r="H554" i="1"/>
  <c r="G554" i="1"/>
  <c r="F554" i="1"/>
  <c r="D554" i="1"/>
  <c r="I553" i="1"/>
  <c r="H553" i="1"/>
  <c r="G553" i="1"/>
  <c r="F553" i="1"/>
  <c r="D553" i="1"/>
  <c r="I552" i="1"/>
  <c r="H552" i="1"/>
  <c r="G552" i="1"/>
  <c r="F552" i="1"/>
  <c r="D552" i="1"/>
  <c r="I551" i="1"/>
  <c r="H551" i="1"/>
  <c r="G551" i="1"/>
  <c r="F551" i="1"/>
  <c r="D551" i="1"/>
  <c r="I550" i="1"/>
  <c r="H550" i="1"/>
  <c r="G550" i="1"/>
  <c r="F550" i="1"/>
  <c r="D550" i="1"/>
  <c r="I549" i="1"/>
  <c r="H549" i="1"/>
  <c r="G549" i="1"/>
  <c r="F549" i="1"/>
  <c r="D549" i="1"/>
  <c r="I548" i="1"/>
  <c r="H548" i="1"/>
  <c r="G548" i="1"/>
  <c r="F548" i="1"/>
  <c r="D548" i="1"/>
  <c r="I547" i="1"/>
  <c r="H547" i="1"/>
  <c r="G547" i="1"/>
  <c r="F547" i="1"/>
  <c r="D547" i="1"/>
  <c r="I546" i="1"/>
  <c r="H546" i="1"/>
  <c r="G546" i="1"/>
  <c r="F546" i="1"/>
  <c r="D546" i="1"/>
  <c r="I545" i="1"/>
  <c r="H545" i="1"/>
  <c r="G545" i="1"/>
  <c r="F545" i="1"/>
  <c r="D545" i="1"/>
  <c r="I544" i="1"/>
  <c r="H544" i="1"/>
  <c r="G544" i="1"/>
  <c r="F544" i="1"/>
  <c r="D544" i="1"/>
  <c r="I543" i="1"/>
  <c r="H543" i="1"/>
  <c r="G543" i="1"/>
  <c r="F543" i="1"/>
  <c r="D543" i="1"/>
  <c r="A543" i="1"/>
  <c r="I542" i="1"/>
  <c r="H542" i="1"/>
  <c r="G542" i="1"/>
  <c r="F542" i="1"/>
  <c r="D542" i="1"/>
  <c r="I541" i="1"/>
  <c r="H541" i="1"/>
  <c r="G541" i="1"/>
  <c r="F541" i="1"/>
  <c r="D541" i="1"/>
  <c r="I540" i="1"/>
  <c r="H540" i="1"/>
  <c r="G540" i="1"/>
  <c r="F540" i="1"/>
  <c r="D540" i="1"/>
  <c r="I539" i="1"/>
  <c r="H539" i="1"/>
  <c r="G539" i="1"/>
  <c r="F539" i="1"/>
  <c r="D539" i="1"/>
  <c r="I538" i="1"/>
  <c r="H538" i="1"/>
  <c r="G538" i="1"/>
  <c r="F538" i="1"/>
  <c r="D538" i="1"/>
  <c r="I537" i="1"/>
  <c r="H537" i="1"/>
  <c r="G537" i="1"/>
  <c r="F537" i="1"/>
  <c r="D537" i="1"/>
  <c r="I536" i="1"/>
  <c r="H536" i="1"/>
  <c r="G536" i="1"/>
  <c r="F536" i="1"/>
  <c r="D536" i="1"/>
  <c r="I535" i="1"/>
  <c r="H535" i="1"/>
  <c r="G535" i="1"/>
  <c r="F535" i="1"/>
  <c r="D535" i="1"/>
  <c r="I534" i="1"/>
  <c r="H534" i="1"/>
  <c r="G534" i="1"/>
  <c r="F534" i="1"/>
  <c r="D534" i="1"/>
  <c r="I533" i="1"/>
  <c r="H533" i="1"/>
  <c r="G533" i="1"/>
  <c r="F533" i="1"/>
  <c r="D533" i="1"/>
  <c r="I532" i="1"/>
  <c r="H532" i="1"/>
  <c r="G532" i="1"/>
  <c r="F532" i="1"/>
  <c r="D532" i="1"/>
  <c r="I531" i="1"/>
  <c r="H531" i="1"/>
  <c r="G531" i="1"/>
  <c r="F531" i="1"/>
  <c r="D531" i="1"/>
  <c r="I530" i="1"/>
  <c r="H530" i="1"/>
  <c r="G530" i="1"/>
  <c r="F530" i="1"/>
  <c r="D530" i="1"/>
  <c r="I529" i="1"/>
  <c r="H529" i="1"/>
  <c r="G529" i="1"/>
  <c r="F529" i="1"/>
  <c r="D529" i="1"/>
  <c r="I528" i="1"/>
  <c r="H528" i="1"/>
  <c r="G528" i="1"/>
  <c r="F528" i="1"/>
  <c r="D528" i="1"/>
  <c r="I527" i="1"/>
  <c r="H527" i="1"/>
  <c r="G527" i="1"/>
  <c r="F527" i="1"/>
  <c r="D527" i="1"/>
  <c r="I526" i="1"/>
  <c r="H526" i="1"/>
  <c r="G526" i="1"/>
  <c r="F526" i="1"/>
  <c r="D526" i="1"/>
  <c r="I525" i="1"/>
  <c r="H525" i="1"/>
  <c r="G525" i="1"/>
  <c r="F525" i="1"/>
  <c r="D525" i="1"/>
  <c r="I524" i="1"/>
  <c r="H524" i="1"/>
  <c r="G524" i="1"/>
  <c r="F524" i="1"/>
  <c r="D524" i="1"/>
  <c r="I523" i="1"/>
  <c r="H523" i="1"/>
  <c r="G523" i="1"/>
  <c r="F523" i="1"/>
  <c r="D523" i="1"/>
  <c r="I522" i="1"/>
  <c r="H522" i="1"/>
  <c r="G522" i="1"/>
  <c r="F522" i="1"/>
  <c r="D522" i="1"/>
  <c r="I521" i="1"/>
  <c r="H521" i="1"/>
  <c r="G521" i="1"/>
  <c r="F521" i="1"/>
  <c r="D521" i="1"/>
  <c r="I520" i="1"/>
  <c r="H520" i="1"/>
  <c r="G520" i="1"/>
  <c r="F520" i="1"/>
  <c r="D520" i="1"/>
  <c r="I519" i="1"/>
  <c r="H519" i="1"/>
  <c r="G519" i="1"/>
  <c r="F519" i="1"/>
  <c r="D519" i="1"/>
  <c r="I518" i="1"/>
  <c r="H518" i="1"/>
  <c r="G518" i="1"/>
  <c r="F518" i="1"/>
  <c r="D518" i="1"/>
  <c r="I517" i="1"/>
  <c r="H517" i="1"/>
  <c r="G517" i="1"/>
  <c r="F517" i="1"/>
  <c r="D517" i="1"/>
  <c r="I516" i="1"/>
  <c r="H516" i="1"/>
  <c r="G516" i="1"/>
  <c r="F516" i="1"/>
  <c r="D516" i="1"/>
  <c r="I515" i="1"/>
  <c r="H515" i="1"/>
  <c r="G515" i="1"/>
  <c r="F515" i="1"/>
  <c r="D515" i="1"/>
  <c r="I514" i="1"/>
  <c r="H514" i="1"/>
  <c r="G514" i="1"/>
  <c r="F514" i="1"/>
  <c r="D514" i="1"/>
  <c r="I513" i="1"/>
  <c r="H513" i="1"/>
  <c r="G513" i="1"/>
  <c r="F513" i="1"/>
  <c r="D513" i="1"/>
  <c r="I512" i="1"/>
  <c r="H512" i="1"/>
  <c r="G512" i="1"/>
  <c r="F512" i="1"/>
  <c r="D512" i="1"/>
  <c r="I511" i="1"/>
  <c r="H511" i="1"/>
  <c r="G511" i="1"/>
  <c r="F511" i="1"/>
  <c r="D511" i="1"/>
  <c r="I510" i="1"/>
  <c r="H510" i="1"/>
  <c r="G510" i="1"/>
  <c r="F510" i="1"/>
  <c r="D510" i="1"/>
  <c r="I509" i="1"/>
  <c r="H509" i="1"/>
  <c r="G509" i="1"/>
  <c r="F509" i="1"/>
  <c r="D509" i="1"/>
  <c r="I508" i="1"/>
  <c r="H508" i="1"/>
  <c r="G508" i="1"/>
  <c r="F508" i="1"/>
  <c r="D508" i="1"/>
  <c r="I507" i="1"/>
  <c r="H507" i="1"/>
  <c r="G507" i="1"/>
  <c r="F507" i="1"/>
  <c r="D507" i="1"/>
  <c r="A507" i="1"/>
  <c r="I506" i="1"/>
  <c r="H506" i="1"/>
  <c r="G506" i="1"/>
  <c r="F506" i="1"/>
  <c r="D506" i="1"/>
  <c r="I505" i="1"/>
  <c r="H505" i="1"/>
  <c r="G505" i="1"/>
  <c r="F505" i="1"/>
  <c r="D505" i="1"/>
  <c r="A505" i="1"/>
  <c r="I504" i="1"/>
  <c r="H504" i="1"/>
  <c r="G504" i="1"/>
  <c r="F504" i="1"/>
  <c r="D504" i="1"/>
  <c r="I503" i="1"/>
  <c r="H503" i="1"/>
  <c r="G503" i="1"/>
  <c r="F503" i="1"/>
  <c r="D503" i="1"/>
  <c r="I502" i="1"/>
  <c r="H502" i="1"/>
  <c r="G502" i="1"/>
  <c r="F502" i="1"/>
  <c r="D502" i="1"/>
  <c r="I501" i="1"/>
  <c r="H501" i="1"/>
  <c r="G501" i="1"/>
  <c r="F501" i="1"/>
  <c r="D501" i="1"/>
  <c r="I500" i="1"/>
  <c r="H500" i="1"/>
  <c r="G500" i="1"/>
  <c r="F500" i="1"/>
  <c r="D500" i="1"/>
  <c r="I499" i="1"/>
  <c r="H499" i="1"/>
  <c r="G499" i="1"/>
  <c r="F499" i="1"/>
  <c r="D499" i="1"/>
  <c r="I498" i="1"/>
  <c r="H498" i="1"/>
  <c r="G498" i="1"/>
  <c r="F498" i="1"/>
  <c r="D498" i="1"/>
  <c r="I497" i="1"/>
  <c r="H497" i="1"/>
  <c r="G497" i="1"/>
  <c r="F497" i="1"/>
  <c r="D497" i="1"/>
  <c r="I496" i="1"/>
  <c r="H496" i="1"/>
  <c r="G496" i="1"/>
  <c r="F496" i="1"/>
  <c r="D496" i="1"/>
  <c r="I495" i="1"/>
  <c r="H495" i="1"/>
  <c r="G495" i="1"/>
  <c r="F495" i="1"/>
  <c r="D495" i="1"/>
  <c r="I494" i="1"/>
  <c r="H494" i="1"/>
  <c r="G494" i="1"/>
  <c r="F494" i="1"/>
  <c r="D494" i="1"/>
  <c r="I493" i="1"/>
  <c r="H493" i="1"/>
  <c r="G493" i="1"/>
  <c r="F493" i="1"/>
  <c r="D493" i="1"/>
  <c r="I492" i="1"/>
  <c r="H492" i="1"/>
  <c r="G492" i="1"/>
  <c r="F492" i="1"/>
  <c r="D492" i="1"/>
  <c r="I491" i="1"/>
  <c r="H491" i="1"/>
  <c r="G491" i="1"/>
  <c r="F491" i="1"/>
  <c r="D491" i="1"/>
  <c r="I490" i="1"/>
  <c r="H490" i="1"/>
  <c r="G490" i="1"/>
  <c r="F490" i="1"/>
  <c r="D490" i="1"/>
  <c r="I489" i="1"/>
  <c r="H489" i="1"/>
  <c r="G489" i="1"/>
  <c r="F489" i="1"/>
  <c r="D489" i="1"/>
  <c r="I488" i="1"/>
  <c r="H488" i="1"/>
  <c r="G488" i="1"/>
  <c r="F488" i="1"/>
  <c r="D488" i="1"/>
  <c r="I487" i="1"/>
  <c r="H487" i="1"/>
  <c r="G487" i="1"/>
  <c r="F487" i="1"/>
  <c r="D487" i="1"/>
  <c r="I486" i="1"/>
  <c r="H486" i="1"/>
  <c r="G486" i="1"/>
  <c r="F486" i="1"/>
  <c r="D486" i="1"/>
  <c r="I485" i="1"/>
  <c r="H485" i="1"/>
  <c r="G485" i="1"/>
  <c r="F485" i="1"/>
  <c r="D485" i="1"/>
  <c r="I484" i="1"/>
  <c r="H484" i="1"/>
  <c r="G484" i="1"/>
  <c r="F484" i="1"/>
  <c r="D484" i="1"/>
  <c r="I483" i="1"/>
  <c r="H483" i="1"/>
  <c r="G483" i="1"/>
  <c r="F483" i="1"/>
  <c r="D483" i="1"/>
  <c r="A483" i="1"/>
  <c r="I482" i="1"/>
  <c r="H482" i="1"/>
  <c r="G482" i="1"/>
  <c r="F482" i="1"/>
  <c r="D482" i="1"/>
  <c r="I481" i="1"/>
  <c r="H481" i="1"/>
  <c r="G481" i="1"/>
  <c r="F481" i="1"/>
  <c r="D481" i="1"/>
  <c r="A481" i="1"/>
  <c r="I480" i="1"/>
  <c r="H480" i="1"/>
  <c r="G480" i="1"/>
  <c r="F480" i="1"/>
  <c r="D480" i="1"/>
  <c r="I479" i="1"/>
  <c r="H479" i="1"/>
  <c r="G479" i="1"/>
  <c r="F479" i="1"/>
  <c r="D479" i="1"/>
  <c r="I478" i="1"/>
  <c r="H478" i="1"/>
  <c r="G478" i="1"/>
  <c r="F478" i="1"/>
  <c r="D478" i="1"/>
  <c r="I477" i="1"/>
  <c r="H477" i="1"/>
  <c r="G477" i="1"/>
  <c r="F477" i="1"/>
  <c r="D477" i="1"/>
  <c r="I476" i="1"/>
  <c r="H476" i="1"/>
  <c r="G476" i="1"/>
  <c r="F476" i="1"/>
  <c r="D476" i="1"/>
  <c r="I475" i="1"/>
  <c r="H475" i="1"/>
  <c r="G475" i="1"/>
  <c r="F475" i="1"/>
  <c r="D475" i="1"/>
  <c r="I474" i="1"/>
  <c r="H474" i="1"/>
  <c r="G474" i="1"/>
  <c r="F474" i="1"/>
  <c r="D474" i="1"/>
  <c r="I473" i="1"/>
  <c r="H473" i="1"/>
  <c r="G473" i="1"/>
  <c r="F473" i="1"/>
  <c r="D473" i="1"/>
  <c r="I472" i="1"/>
  <c r="H472" i="1"/>
  <c r="G472" i="1"/>
  <c r="F472" i="1"/>
  <c r="D472" i="1"/>
  <c r="I471" i="1"/>
  <c r="H471" i="1"/>
  <c r="G471" i="1"/>
  <c r="F471" i="1"/>
  <c r="D471" i="1"/>
  <c r="I470" i="1"/>
  <c r="H470" i="1"/>
  <c r="G470" i="1"/>
  <c r="F470" i="1"/>
  <c r="D470" i="1"/>
  <c r="I469" i="1"/>
  <c r="H469" i="1"/>
  <c r="G469" i="1"/>
  <c r="F469" i="1"/>
  <c r="D469" i="1"/>
  <c r="I468" i="1"/>
  <c r="H468" i="1"/>
  <c r="G468" i="1"/>
  <c r="F468" i="1"/>
  <c r="D468" i="1"/>
  <c r="I467" i="1"/>
  <c r="H467" i="1"/>
  <c r="G467" i="1"/>
  <c r="F467" i="1"/>
  <c r="D467" i="1"/>
  <c r="I466" i="1"/>
  <c r="H466" i="1"/>
  <c r="G466" i="1"/>
  <c r="F466" i="1"/>
  <c r="D466" i="1"/>
  <c r="I465" i="1"/>
  <c r="H465" i="1"/>
  <c r="G465" i="1"/>
  <c r="F465" i="1"/>
  <c r="D465" i="1"/>
  <c r="I464" i="1"/>
  <c r="H464" i="1"/>
  <c r="G464" i="1"/>
  <c r="F464" i="1"/>
  <c r="D464" i="1"/>
  <c r="I463" i="1"/>
  <c r="H463" i="1"/>
  <c r="G463" i="1"/>
  <c r="F463" i="1"/>
  <c r="D463" i="1"/>
  <c r="I462" i="1"/>
  <c r="H462" i="1"/>
  <c r="G462" i="1"/>
  <c r="F462" i="1"/>
  <c r="D462" i="1"/>
  <c r="I461" i="1"/>
  <c r="H461" i="1"/>
  <c r="G461" i="1"/>
  <c r="F461" i="1"/>
  <c r="D461" i="1"/>
  <c r="I460" i="1"/>
  <c r="H460" i="1"/>
  <c r="G460" i="1"/>
  <c r="F460" i="1"/>
  <c r="D460" i="1"/>
  <c r="I459" i="1"/>
  <c r="H459" i="1"/>
  <c r="G459" i="1"/>
  <c r="F459" i="1"/>
  <c r="D459" i="1"/>
  <c r="I458" i="1"/>
  <c r="H458" i="1"/>
  <c r="G458" i="1"/>
  <c r="F458" i="1"/>
  <c r="D458" i="1"/>
  <c r="I457" i="1"/>
  <c r="H457" i="1"/>
  <c r="G457" i="1"/>
  <c r="F457" i="1"/>
  <c r="D457" i="1"/>
  <c r="I456" i="1"/>
  <c r="H456" i="1"/>
  <c r="G456" i="1"/>
  <c r="F456" i="1"/>
  <c r="D456" i="1"/>
  <c r="I455" i="1"/>
  <c r="H455" i="1"/>
  <c r="G455" i="1"/>
  <c r="F455" i="1"/>
  <c r="D455" i="1"/>
  <c r="I454" i="1"/>
  <c r="H454" i="1"/>
  <c r="G454" i="1"/>
  <c r="F454" i="1"/>
  <c r="D454" i="1"/>
  <c r="I453" i="1"/>
  <c r="H453" i="1"/>
  <c r="G453" i="1"/>
  <c r="F453" i="1"/>
  <c r="D453" i="1"/>
  <c r="I452" i="1"/>
  <c r="H452" i="1"/>
  <c r="G452" i="1"/>
  <c r="F452" i="1"/>
  <c r="D452" i="1"/>
  <c r="I451" i="1"/>
  <c r="H451" i="1"/>
  <c r="G451" i="1"/>
  <c r="F451" i="1"/>
  <c r="D451" i="1"/>
  <c r="I450" i="1"/>
  <c r="H450" i="1"/>
  <c r="G450" i="1"/>
  <c r="F450" i="1"/>
  <c r="D450" i="1"/>
  <c r="I449" i="1"/>
  <c r="H449" i="1"/>
  <c r="G449" i="1"/>
  <c r="F449" i="1"/>
  <c r="D449" i="1"/>
  <c r="I448" i="1"/>
  <c r="H448" i="1"/>
  <c r="G448" i="1"/>
  <c r="F448" i="1"/>
  <c r="D448" i="1"/>
  <c r="I447" i="1"/>
  <c r="H447" i="1"/>
  <c r="G447" i="1"/>
  <c r="F447" i="1"/>
  <c r="D447" i="1"/>
  <c r="I446" i="1"/>
  <c r="H446" i="1"/>
  <c r="G446" i="1"/>
  <c r="F446" i="1"/>
  <c r="D446" i="1"/>
  <c r="I445" i="1"/>
  <c r="H445" i="1"/>
  <c r="G445" i="1"/>
  <c r="F445" i="1"/>
  <c r="D445" i="1"/>
  <c r="I444" i="1"/>
  <c r="H444" i="1"/>
  <c r="G444" i="1"/>
  <c r="F444" i="1"/>
  <c r="D444" i="1"/>
  <c r="I443" i="1"/>
  <c r="H443" i="1"/>
  <c r="G443" i="1"/>
  <c r="F443" i="1"/>
  <c r="D443" i="1"/>
  <c r="I442" i="1"/>
  <c r="H442" i="1"/>
  <c r="G442" i="1"/>
  <c r="F442" i="1"/>
  <c r="D442" i="1"/>
  <c r="I441" i="1"/>
  <c r="H441" i="1"/>
  <c r="G441" i="1"/>
  <c r="F441" i="1"/>
  <c r="D441" i="1"/>
  <c r="I440" i="1"/>
  <c r="H440" i="1"/>
  <c r="G440" i="1"/>
  <c r="F440" i="1"/>
  <c r="D440" i="1"/>
  <c r="I439" i="1"/>
  <c r="H439" i="1"/>
  <c r="G439" i="1"/>
  <c r="F439" i="1"/>
  <c r="D439" i="1"/>
  <c r="I438" i="1"/>
  <c r="H438" i="1"/>
  <c r="G438" i="1"/>
  <c r="F438" i="1"/>
  <c r="D438" i="1"/>
  <c r="I437" i="1"/>
  <c r="H437" i="1"/>
  <c r="G437" i="1"/>
  <c r="F437" i="1"/>
  <c r="D437" i="1"/>
  <c r="I436" i="1"/>
  <c r="H436" i="1"/>
  <c r="G436" i="1"/>
  <c r="F436" i="1"/>
  <c r="D436" i="1"/>
  <c r="I435" i="1"/>
  <c r="H435" i="1"/>
  <c r="G435" i="1"/>
  <c r="F435" i="1"/>
  <c r="D435" i="1"/>
  <c r="I434" i="1"/>
  <c r="H434" i="1"/>
  <c r="G434" i="1"/>
  <c r="F434" i="1"/>
  <c r="D434" i="1"/>
  <c r="I433" i="1"/>
  <c r="H433" i="1"/>
  <c r="G433" i="1"/>
  <c r="F433" i="1"/>
  <c r="D433" i="1"/>
  <c r="I432" i="1"/>
  <c r="H432" i="1"/>
  <c r="G432" i="1"/>
  <c r="F432" i="1"/>
  <c r="D432" i="1"/>
  <c r="I431" i="1"/>
  <c r="H431" i="1"/>
  <c r="G431" i="1"/>
  <c r="F431" i="1"/>
  <c r="D431" i="1"/>
  <c r="I430" i="1"/>
  <c r="H430" i="1"/>
  <c r="G430" i="1"/>
  <c r="F430" i="1"/>
  <c r="D430" i="1"/>
  <c r="I429" i="1"/>
  <c r="H429" i="1"/>
  <c r="G429" i="1"/>
  <c r="F429" i="1"/>
  <c r="D429" i="1"/>
  <c r="I428" i="1"/>
  <c r="H428" i="1"/>
  <c r="G428" i="1"/>
  <c r="F428" i="1"/>
  <c r="D428" i="1"/>
  <c r="I427" i="1"/>
  <c r="H427" i="1"/>
  <c r="G427" i="1"/>
  <c r="F427" i="1"/>
  <c r="D427" i="1"/>
  <c r="I426" i="1"/>
  <c r="H426" i="1"/>
  <c r="G426" i="1"/>
  <c r="F426" i="1"/>
  <c r="D426" i="1"/>
  <c r="I425" i="1"/>
  <c r="H425" i="1"/>
  <c r="G425" i="1"/>
  <c r="F425" i="1"/>
  <c r="D425" i="1"/>
  <c r="I424" i="1"/>
  <c r="H424" i="1"/>
  <c r="G424" i="1"/>
  <c r="F424" i="1"/>
  <c r="D424" i="1"/>
  <c r="I423" i="1"/>
  <c r="H423" i="1"/>
  <c r="G423" i="1"/>
  <c r="F423" i="1"/>
  <c r="D423" i="1"/>
  <c r="I422" i="1"/>
  <c r="H422" i="1"/>
  <c r="G422" i="1"/>
  <c r="F422" i="1"/>
  <c r="D422" i="1"/>
  <c r="I421" i="1"/>
  <c r="H421" i="1"/>
  <c r="G421" i="1"/>
  <c r="F421" i="1"/>
  <c r="D421" i="1"/>
  <c r="I420" i="1"/>
  <c r="H420" i="1"/>
  <c r="G420" i="1"/>
  <c r="F420" i="1"/>
  <c r="D420" i="1"/>
  <c r="I419" i="1"/>
  <c r="H419" i="1"/>
  <c r="G419" i="1"/>
  <c r="F419" i="1"/>
  <c r="D419" i="1"/>
  <c r="I418" i="1"/>
  <c r="H418" i="1"/>
  <c r="G418" i="1"/>
  <c r="F418" i="1"/>
  <c r="D418" i="1"/>
  <c r="I417" i="1"/>
  <c r="H417" i="1"/>
  <c r="G417" i="1"/>
  <c r="F417" i="1"/>
  <c r="D417" i="1"/>
  <c r="I416" i="1"/>
  <c r="H416" i="1"/>
  <c r="G416" i="1"/>
  <c r="F416" i="1"/>
  <c r="D416" i="1"/>
  <c r="I415" i="1"/>
  <c r="H415" i="1"/>
  <c r="G415" i="1"/>
  <c r="F415" i="1"/>
  <c r="D415" i="1"/>
  <c r="I414" i="1"/>
  <c r="H414" i="1"/>
  <c r="G414" i="1"/>
  <c r="F414" i="1"/>
  <c r="D414" i="1"/>
  <c r="I413" i="1"/>
  <c r="H413" i="1"/>
  <c r="G413" i="1"/>
  <c r="F413" i="1"/>
  <c r="D413" i="1"/>
  <c r="I412" i="1"/>
  <c r="H412" i="1"/>
  <c r="G412" i="1"/>
  <c r="F412" i="1"/>
  <c r="D412" i="1"/>
  <c r="I411" i="1"/>
  <c r="H411" i="1"/>
  <c r="G411" i="1"/>
  <c r="F411" i="1"/>
  <c r="D411" i="1"/>
  <c r="I410" i="1"/>
  <c r="H410" i="1"/>
  <c r="G410" i="1"/>
  <c r="F410" i="1"/>
  <c r="D410" i="1"/>
  <c r="I409" i="1"/>
  <c r="H409" i="1"/>
  <c r="G409" i="1"/>
  <c r="F409" i="1"/>
  <c r="D409" i="1"/>
  <c r="A409" i="1"/>
  <c r="I408" i="1"/>
  <c r="H408" i="1"/>
  <c r="G408" i="1"/>
  <c r="F408" i="1"/>
  <c r="D408" i="1"/>
  <c r="I407" i="1"/>
  <c r="H407" i="1"/>
  <c r="G407" i="1"/>
  <c r="F407" i="1"/>
  <c r="D407" i="1"/>
  <c r="I406" i="1"/>
  <c r="H406" i="1"/>
  <c r="G406" i="1"/>
  <c r="F406" i="1"/>
  <c r="D406" i="1"/>
  <c r="I405" i="1"/>
  <c r="H405" i="1"/>
  <c r="G405" i="1"/>
  <c r="F405" i="1"/>
  <c r="D405" i="1"/>
  <c r="I404" i="1"/>
  <c r="H404" i="1"/>
  <c r="G404" i="1"/>
  <c r="F404" i="1"/>
  <c r="D404" i="1"/>
  <c r="I403" i="1"/>
  <c r="H403" i="1"/>
  <c r="G403" i="1"/>
  <c r="F403" i="1"/>
  <c r="D403" i="1"/>
  <c r="I402" i="1"/>
  <c r="H402" i="1"/>
  <c r="G402" i="1"/>
  <c r="F402" i="1"/>
  <c r="D402" i="1"/>
  <c r="I401" i="1"/>
  <c r="H401" i="1"/>
  <c r="G401" i="1"/>
  <c r="F401" i="1"/>
  <c r="D401" i="1"/>
  <c r="I400" i="1"/>
  <c r="H400" i="1"/>
  <c r="G400" i="1"/>
  <c r="F400" i="1"/>
  <c r="D400" i="1"/>
  <c r="I399" i="1"/>
  <c r="H399" i="1"/>
  <c r="G399" i="1"/>
  <c r="F399" i="1"/>
  <c r="D399" i="1"/>
  <c r="I398" i="1"/>
  <c r="H398" i="1"/>
  <c r="G398" i="1"/>
  <c r="F398" i="1"/>
  <c r="D398" i="1"/>
  <c r="I397" i="1"/>
  <c r="H397" i="1"/>
  <c r="G397" i="1"/>
  <c r="F397" i="1"/>
  <c r="D397" i="1"/>
  <c r="I396" i="1"/>
  <c r="H396" i="1"/>
  <c r="G396" i="1"/>
  <c r="F396" i="1"/>
  <c r="D396" i="1"/>
  <c r="I395" i="1"/>
  <c r="H395" i="1"/>
  <c r="G395" i="1"/>
  <c r="F395" i="1"/>
  <c r="D395" i="1"/>
  <c r="I394" i="1"/>
  <c r="H394" i="1"/>
  <c r="G394" i="1"/>
  <c r="F394" i="1"/>
  <c r="D394" i="1"/>
  <c r="I393" i="1"/>
  <c r="H393" i="1"/>
  <c r="G393" i="1"/>
  <c r="F393" i="1"/>
  <c r="D393" i="1"/>
  <c r="I392" i="1"/>
  <c r="H392" i="1"/>
  <c r="G392" i="1"/>
  <c r="F392" i="1"/>
  <c r="D392" i="1"/>
  <c r="I391" i="1"/>
  <c r="H391" i="1"/>
  <c r="G391" i="1"/>
  <c r="F391" i="1"/>
  <c r="D391" i="1"/>
  <c r="I390" i="1"/>
  <c r="H390" i="1"/>
  <c r="G390" i="1"/>
  <c r="F390" i="1"/>
  <c r="D390" i="1"/>
  <c r="I389" i="1"/>
  <c r="H389" i="1"/>
  <c r="G389" i="1"/>
  <c r="F389" i="1"/>
  <c r="D389" i="1"/>
  <c r="I388" i="1"/>
  <c r="H388" i="1"/>
  <c r="G388" i="1"/>
  <c r="F388" i="1"/>
  <c r="D388" i="1"/>
  <c r="I387" i="1"/>
  <c r="H387" i="1"/>
  <c r="G387" i="1"/>
  <c r="F387" i="1"/>
  <c r="D387" i="1"/>
  <c r="A387" i="1"/>
  <c r="I386" i="1"/>
  <c r="H386" i="1"/>
  <c r="G386" i="1"/>
  <c r="F386" i="1"/>
  <c r="D386" i="1"/>
  <c r="I385" i="1"/>
  <c r="H385" i="1"/>
  <c r="G385" i="1"/>
  <c r="F385" i="1"/>
  <c r="D385" i="1"/>
  <c r="I384" i="1"/>
  <c r="H384" i="1"/>
  <c r="G384" i="1"/>
  <c r="F384" i="1"/>
  <c r="D384" i="1"/>
  <c r="I383" i="1"/>
  <c r="H383" i="1"/>
  <c r="G383" i="1"/>
  <c r="F383" i="1"/>
  <c r="D383" i="1"/>
  <c r="I382" i="1"/>
  <c r="H382" i="1"/>
  <c r="G382" i="1"/>
  <c r="F382" i="1"/>
  <c r="D382" i="1"/>
  <c r="I381" i="1"/>
  <c r="H381" i="1"/>
  <c r="G381" i="1"/>
  <c r="F381" i="1"/>
  <c r="D381" i="1"/>
  <c r="I380" i="1"/>
  <c r="H380" i="1"/>
  <c r="G380" i="1"/>
  <c r="F380" i="1"/>
  <c r="D380" i="1"/>
  <c r="I379" i="1"/>
  <c r="H379" i="1"/>
  <c r="G379" i="1"/>
  <c r="F379" i="1"/>
  <c r="D379" i="1"/>
  <c r="I378" i="1"/>
  <c r="H378" i="1"/>
  <c r="G378" i="1"/>
  <c r="F378" i="1"/>
  <c r="D378" i="1"/>
  <c r="I377" i="1"/>
  <c r="H377" i="1"/>
  <c r="G377" i="1"/>
  <c r="F377" i="1"/>
  <c r="D377" i="1"/>
  <c r="I376" i="1"/>
  <c r="H376" i="1"/>
  <c r="G376" i="1"/>
  <c r="F376" i="1"/>
  <c r="D376" i="1"/>
  <c r="I375" i="1"/>
  <c r="H375" i="1"/>
  <c r="G375" i="1"/>
  <c r="F375" i="1"/>
  <c r="D375" i="1"/>
  <c r="I374" i="1"/>
  <c r="H374" i="1"/>
  <c r="G374" i="1"/>
  <c r="F374" i="1"/>
  <c r="D374" i="1"/>
  <c r="I373" i="1"/>
  <c r="H373" i="1"/>
  <c r="G373" i="1"/>
  <c r="F373" i="1"/>
  <c r="D373" i="1"/>
  <c r="I372" i="1"/>
  <c r="H372" i="1"/>
  <c r="G372" i="1"/>
  <c r="F372" i="1"/>
  <c r="D372" i="1"/>
  <c r="I371" i="1"/>
  <c r="H371" i="1"/>
  <c r="G371" i="1"/>
  <c r="F371" i="1"/>
  <c r="D371" i="1"/>
  <c r="I370" i="1"/>
  <c r="H370" i="1"/>
  <c r="G370" i="1"/>
  <c r="F370" i="1"/>
  <c r="D370" i="1"/>
  <c r="I369" i="1"/>
  <c r="H369" i="1"/>
  <c r="G369" i="1"/>
  <c r="F369" i="1"/>
  <c r="D369" i="1"/>
  <c r="I368" i="1"/>
  <c r="H368" i="1"/>
  <c r="G368" i="1"/>
  <c r="F368" i="1"/>
  <c r="D368" i="1"/>
  <c r="I367" i="1"/>
  <c r="H367" i="1"/>
  <c r="G367" i="1"/>
  <c r="F367" i="1"/>
  <c r="D367" i="1"/>
  <c r="I366" i="1"/>
  <c r="H366" i="1"/>
  <c r="G366" i="1"/>
  <c r="F366" i="1"/>
  <c r="D366" i="1"/>
  <c r="I365" i="1"/>
  <c r="H365" i="1"/>
  <c r="G365" i="1"/>
  <c r="F365" i="1"/>
  <c r="D365" i="1"/>
  <c r="I364" i="1"/>
  <c r="H364" i="1"/>
  <c r="G364" i="1"/>
  <c r="F364" i="1"/>
  <c r="D364" i="1"/>
  <c r="I363" i="1"/>
  <c r="H363" i="1"/>
  <c r="G363" i="1"/>
  <c r="F363" i="1"/>
  <c r="D363" i="1"/>
  <c r="A363" i="1"/>
  <c r="I362" i="1"/>
  <c r="H362" i="1"/>
  <c r="G362" i="1"/>
  <c r="F362" i="1"/>
  <c r="D362" i="1"/>
  <c r="I361" i="1"/>
  <c r="H361" i="1"/>
  <c r="G361" i="1"/>
  <c r="F361" i="1"/>
  <c r="D361" i="1"/>
  <c r="A361" i="1"/>
  <c r="I360" i="1"/>
  <c r="H360" i="1"/>
  <c r="G360" i="1"/>
  <c r="F360" i="1"/>
  <c r="D360" i="1"/>
  <c r="I359" i="1"/>
  <c r="H359" i="1"/>
  <c r="G359" i="1"/>
  <c r="F359" i="1"/>
  <c r="D359" i="1"/>
  <c r="A359" i="1"/>
  <c r="I358" i="1"/>
  <c r="H358" i="1"/>
  <c r="G358" i="1"/>
  <c r="F358" i="1"/>
  <c r="D358" i="1"/>
  <c r="I357" i="1"/>
  <c r="H357" i="1"/>
  <c r="G357" i="1"/>
  <c r="F357" i="1"/>
  <c r="D357" i="1"/>
  <c r="I356" i="1"/>
  <c r="H356" i="1"/>
  <c r="G356" i="1"/>
  <c r="F356" i="1"/>
  <c r="D356" i="1"/>
  <c r="I355" i="1"/>
  <c r="H355" i="1"/>
  <c r="G355" i="1"/>
  <c r="F355" i="1"/>
  <c r="D355" i="1"/>
  <c r="I354" i="1"/>
  <c r="H354" i="1"/>
  <c r="G354" i="1"/>
  <c r="F354" i="1"/>
  <c r="D354" i="1"/>
  <c r="I353" i="1"/>
  <c r="H353" i="1"/>
  <c r="G353" i="1"/>
  <c r="F353" i="1"/>
  <c r="D353" i="1"/>
  <c r="A353" i="1"/>
  <c r="I352" i="1"/>
  <c r="H352" i="1"/>
  <c r="G352" i="1"/>
  <c r="F352" i="1"/>
  <c r="D352" i="1"/>
  <c r="I351" i="1"/>
  <c r="H351" i="1"/>
  <c r="G351" i="1"/>
  <c r="F351" i="1"/>
  <c r="D351" i="1"/>
  <c r="I350" i="1"/>
  <c r="H350" i="1"/>
  <c r="G350" i="1"/>
  <c r="F350" i="1"/>
  <c r="D350" i="1"/>
  <c r="I349" i="1"/>
  <c r="H349" i="1"/>
  <c r="G349" i="1"/>
  <c r="F349" i="1"/>
  <c r="D349" i="1"/>
  <c r="I348" i="1"/>
  <c r="H348" i="1"/>
  <c r="G348" i="1"/>
  <c r="F348" i="1"/>
  <c r="D348" i="1"/>
  <c r="I347" i="1"/>
  <c r="H347" i="1"/>
  <c r="G347" i="1"/>
  <c r="F347" i="1"/>
  <c r="D347" i="1"/>
  <c r="I346" i="1"/>
  <c r="H346" i="1"/>
  <c r="G346" i="1"/>
  <c r="F346" i="1"/>
  <c r="D346" i="1"/>
  <c r="I345" i="1"/>
  <c r="H345" i="1"/>
  <c r="G345" i="1"/>
  <c r="F345" i="1"/>
  <c r="D345" i="1"/>
  <c r="I344" i="1"/>
  <c r="H344" i="1"/>
  <c r="G344" i="1"/>
  <c r="F344" i="1"/>
  <c r="D344" i="1"/>
  <c r="I343" i="1"/>
  <c r="H343" i="1"/>
  <c r="G343" i="1"/>
  <c r="F343" i="1"/>
  <c r="D343" i="1"/>
  <c r="A343" i="1"/>
  <c r="I342" i="1"/>
  <c r="H342" i="1"/>
  <c r="G342" i="1"/>
  <c r="F342" i="1"/>
  <c r="D342" i="1"/>
  <c r="I341" i="1"/>
  <c r="H341" i="1"/>
  <c r="G341" i="1"/>
  <c r="F341" i="1"/>
  <c r="D341" i="1"/>
  <c r="A341" i="1"/>
  <c r="I340" i="1"/>
  <c r="H340" i="1"/>
  <c r="G340" i="1"/>
  <c r="F340" i="1"/>
  <c r="D340" i="1"/>
  <c r="I339" i="1"/>
  <c r="H339" i="1"/>
  <c r="G339" i="1"/>
  <c r="F339" i="1"/>
  <c r="D339" i="1"/>
  <c r="A339" i="1"/>
  <c r="I338" i="1"/>
  <c r="H338" i="1"/>
  <c r="G338" i="1"/>
  <c r="F338" i="1"/>
  <c r="D338" i="1"/>
  <c r="I337" i="1"/>
  <c r="H337" i="1"/>
  <c r="G337" i="1"/>
  <c r="F337" i="1"/>
  <c r="D337" i="1"/>
  <c r="A337" i="1"/>
  <c r="I336" i="1"/>
  <c r="H336" i="1"/>
  <c r="G336" i="1"/>
  <c r="F336" i="1"/>
  <c r="D336" i="1"/>
  <c r="I335" i="1"/>
  <c r="H335" i="1"/>
  <c r="G335" i="1"/>
  <c r="F335" i="1"/>
  <c r="D335" i="1"/>
  <c r="A335" i="1"/>
  <c r="I334" i="1"/>
  <c r="H334" i="1"/>
  <c r="G334" i="1"/>
  <c r="F334" i="1"/>
  <c r="D334" i="1"/>
  <c r="I333" i="1"/>
  <c r="H333" i="1"/>
  <c r="G333" i="1"/>
  <c r="F333" i="1"/>
  <c r="D333" i="1"/>
  <c r="I332" i="1"/>
  <c r="H332" i="1"/>
  <c r="G332" i="1"/>
  <c r="F332" i="1"/>
  <c r="D332" i="1"/>
  <c r="I331" i="1"/>
  <c r="H331" i="1"/>
  <c r="G331" i="1"/>
  <c r="F331" i="1"/>
  <c r="D331" i="1"/>
  <c r="I330" i="1"/>
  <c r="H330" i="1"/>
  <c r="G330" i="1"/>
  <c r="F330" i="1"/>
  <c r="D330" i="1"/>
  <c r="I329" i="1"/>
  <c r="H329" i="1"/>
  <c r="G329" i="1"/>
  <c r="F329" i="1"/>
  <c r="D329" i="1"/>
  <c r="A329" i="1"/>
  <c r="I328" i="1"/>
  <c r="H328" i="1"/>
  <c r="G328" i="1"/>
  <c r="F328" i="1"/>
  <c r="D328" i="1"/>
  <c r="I327" i="1"/>
  <c r="H327" i="1"/>
  <c r="G327" i="1"/>
  <c r="F327" i="1"/>
  <c r="D327" i="1"/>
  <c r="I326" i="1"/>
  <c r="H326" i="1"/>
  <c r="G326" i="1"/>
  <c r="F326" i="1"/>
  <c r="D326" i="1"/>
  <c r="I325" i="1"/>
  <c r="H325" i="1"/>
  <c r="G325" i="1"/>
  <c r="F325" i="1"/>
  <c r="D325" i="1"/>
  <c r="I324" i="1"/>
  <c r="H324" i="1"/>
  <c r="G324" i="1"/>
  <c r="F324" i="1"/>
  <c r="D324" i="1"/>
  <c r="I323" i="1"/>
  <c r="H323" i="1"/>
  <c r="G323" i="1"/>
  <c r="F323" i="1"/>
  <c r="D323" i="1"/>
  <c r="I322" i="1"/>
  <c r="H322" i="1"/>
  <c r="G322" i="1"/>
  <c r="F322" i="1"/>
  <c r="D322" i="1"/>
  <c r="I321" i="1"/>
  <c r="H321" i="1"/>
  <c r="G321" i="1"/>
  <c r="F321" i="1"/>
  <c r="D321" i="1"/>
  <c r="I320" i="1"/>
  <c r="H320" i="1"/>
  <c r="G320" i="1"/>
  <c r="F320" i="1"/>
  <c r="D320" i="1"/>
  <c r="I319" i="1"/>
  <c r="H319" i="1"/>
  <c r="G319" i="1"/>
  <c r="F319" i="1"/>
  <c r="D319" i="1"/>
  <c r="A319" i="1"/>
  <c r="I318" i="1"/>
  <c r="H318" i="1"/>
  <c r="G318" i="1"/>
  <c r="F318" i="1"/>
  <c r="D318" i="1"/>
  <c r="I317" i="1"/>
  <c r="H317" i="1"/>
  <c r="G317" i="1"/>
  <c r="F317" i="1"/>
  <c r="D317" i="1"/>
  <c r="A317" i="1"/>
  <c r="I316" i="1"/>
  <c r="H316" i="1"/>
  <c r="G316" i="1"/>
  <c r="F316" i="1"/>
  <c r="D316" i="1"/>
  <c r="I315" i="1"/>
  <c r="H315" i="1"/>
  <c r="G315" i="1"/>
  <c r="F315" i="1"/>
  <c r="D315" i="1"/>
  <c r="A315" i="1"/>
  <c r="I314" i="1"/>
  <c r="H314" i="1"/>
  <c r="G314" i="1"/>
  <c r="F314" i="1"/>
  <c r="D314" i="1"/>
  <c r="I313" i="1"/>
  <c r="H313" i="1"/>
  <c r="G313" i="1"/>
  <c r="F313" i="1"/>
  <c r="D313" i="1"/>
  <c r="A313" i="1"/>
  <c r="I312" i="1"/>
  <c r="H312" i="1"/>
  <c r="G312" i="1"/>
  <c r="F312" i="1"/>
  <c r="D312" i="1"/>
  <c r="I311" i="1"/>
  <c r="H311" i="1"/>
  <c r="G311" i="1"/>
  <c r="F311" i="1"/>
  <c r="D311" i="1"/>
  <c r="A311" i="1"/>
  <c r="I310" i="1"/>
  <c r="H310" i="1"/>
  <c r="G310" i="1"/>
  <c r="F310" i="1"/>
  <c r="D310" i="1"/>
  <c r="I309" i="1"/>
  <c r="H309" i="1"/>
  <c r="G309" i="1"/>
  <c r="F309" i="1"/>
  <c r="D309" i="1"/>
  <c r="I308" i="1"/>
  <c r="H308" i="1"/>
  <c r="G308" i="1"/>
  <c r="F308" i="1"/>
  <c r="D308" i="1"/>
  <c r="I307" i="1"/>
  <c r="H307" i="1"/>
  <c r="G307" i="1"/>
  <c r="F307" i="1"/>
  <c r="D307" i="1"/>
  <c r="I306" i="1"/>
  <c r="H306" i="1"/>
  <c r="G306" i="1"/>
  <c r="F306" i="1"/>
  <c r="D306" i="1"/>
  <c r="I305" i="1"/>
  <c r="H305" i="1"/>
  <c r="G305" i="1"/>
  <c r="F305" i="1"/>
  <c r="D305" i="1"/>
  <c r="A305" i="1"/>
  <c r="I304" i="1"/>
  <c r="H304" i="1"/>
  <c r="G304" i="1"/>
  <c r="F304" i="1"/>
  <c r="D304" i="1"/>
  <c r="I303" i="1"/>
  <c r="H303" i="1"/>
  <c r="G303" i="1"/>
  <c r="F303" i="1"/>
  <c r="D303" i="1"/>
  <c r="I302" i="1"/>
  <c r="H302" i="1"/>
  <c r="G302" i="1"/>
  <c r="F302" i="1"/>
  <c r="D302" i="1"/>
  <c r="I301" i="1"/>
  <c r="H301" i="1"/>
  <c r="G301" i="1"/>
  <c r="F301" i="1"/>
  <c r="D301" i="1"/>
  <c r="I300" i="1"/>
  <c r="H300" i="1"/>
  <c r="G300" i="1"/>
  <c r="F300" i="1"/>
  <c r="D300" i="1"/>
  <c r="I299" i="1"/>
  <c r="H299" i="1"/>
  <c r="G299" i="1"/>
  <c r="F299" i="1"/>
  <c r="D299" i="1"/>
  <c r="I298" i="1"/>
  <c r="H298" i="1"/>
  <c r="G298" i="1"/>
  <c r="F298" i="1"/>
  <c r="D298" i="1"/>
  <c r="I297" i="1"/>
  <c r="H297" i="1"/>
  <c r="G297" i="1"/>
  <c r="F297" i="1"/>
  <c r="D297" i="1"/>
  <c r="I296" i="1"/>
  <c r="H296" i="1"/>
  <c r="G296" i="1"/>
  <c r="F296" i="1"/>
  <c r="D296" i="1"/>
  <c r="I295" i="1"/>
  <c r="H295" i="1"/>
  <c r="G295" i="1"/>
  <c r="F295" i="1"/>
  <c r="D295" i="1"/>
  <c r="A295" i="1"/>
  <c r="I294" i="1"/>
  <c r="H294" i="1"/>
  <c r="G294" i="1"/>
  <c r="F294" i="1"/>
  <c r="D294" i="1"/>
  <c r="I293" i="1"/>
  <c r="H293" i="1"/>
  <c r="G293" i="1"/>
  <c r="F293" i="1"/>
  <c r="D293" i="1"/>
  <c r="A293" i="1"/>
  <c r="I292" i="1"/>
  <c r="H292" i="1"/>
  <c r="G292" i="1"/>
  <c r="F292" i="1"/>
  <c r="D292" i="1"/>
  <c r="I291" i="1"/>
  <c r="H291" i="1"/>
  <c r="G291" i="1"/>
  <c r="F291" i="1"/>
  <c r="D291" i="1"/>
  <c r="A291" i="1"/>
  <c r="I290" i="1"/>
  <c r="H290" i="1"/>
  <c r="G290" i="1"/>
  <c r="F290" i="1"/>
  <c r="D290" i="1"/>
  <c r="I289" i="1"/>
  <c r="H289" i="1"/>
  <c r="G289" i="1"/>
  <c r="F289" i="1"/>
  <c r="D289" i="1"/>
  <c r="A289" i="1"/>
  <c r="I288" i="1"/>
  <c r="H288" i="1"/>
  <c r="G288" i="1"/>
  <c r="F288" i="1"/>
  <c r="D288" i="1"/>
  <c r="I287" i="1"/>
  <c r="H287" i="1"/>
  <c r="G287" i="1"/>
  <c r="F287" i="1"/>
  <c r="D287" i="1"/>
  <c r="A287" i="1"/>
  <c r="I286" i="1"/>
  <c r="H286" i="1"/>
  <c r="G286" i="1"/>
  <c r="F286" i="1"/>
  <c r="D286" i="1"/>
  <c r="I285" i="1"/>
  <c r="H285" i="1"/>
  <c r="G285" i="1"/>
  <c r="F285" i="1"/>
  <c r="D285" i="1"/>
  <c r="I284" i="1"/>
  <c r="H284" i="1"/>
  <c r="G284" i="1"/>
  <c r="F284" i="1"/>
  <c r="D284" i="1"/>
  <c r="I283" i="1"/>
  <c r="H283" i="1"/>
  <c r="G283" i="1"/>
  <c r="F283" i="1"/>
  <c r="D283" i="1"/>
  <c r="I282" i="1"/>
  <c r="H282" i="1"/>
  <c r="G282" i="1"/>
  <c r="F282" i="1"/>
  <c r="D282" i="1"/>
  <c r="I281" i="1"/>
  <c r="H281" i="1"/>
  <c r="G281" i="1"/>
  <c r="F281" i="1"/>
  <c r="D281" i="1"/>
  <c r="A281" i="1"/>
  <c r="I280" i="1"/>
  <c r="H280" i="1"/>
  <c r="G280" i="1"/>
  <c r="F280" i="1"/>
  <c r="D280" i="1"/>
  <c r="I279" i="1"/>
  <c r="H279" i="1"/>
  <c r="G279" i="1"/>
  <c r="F279" i="1"/>
  <c r="D279" i="1"/>
  <c r="I278" i="1"/>
  <c r="H278" i="1"/>
  <c r="G278" i="1"/>
  <c r="F278" i="1"/>
  <c r="D278" i="1"/>
  <c r="I277" i="1"/>
  <c r="H277" i="1"/>
  <c r="G277" i="1"/>
  <c r="F277" i="1"/>
  <c r="D277" i="1"/>
  <c r="I276" i="1"/>
  <c r="H276" i="1"/>
  <c r="G276" i="1"/>
  <c r="F276" i="1"/>
  <c r="D276" i="1"/>
  <c r="I275" i="1"/>
  <c r="H275" i="1"/>
  <c r="G275" i="1"/>
  <c r="F275" i="1"/>
  <c r="D275" i="1"/>
  <c r="I274" i="1"/>
  <c r="H274" i="1"/>
  <c r="G274" i="1"/>
  <c r="F274" i="1"/>
  <c r="D274" i="1"/>
  <c r="I273" i="1"/>
  <c r="H273" i="1"/>
  <c r="G273" i="1"/>
  <c r="F273" i="1"/>
  <c r="D273" i="1"/>
  <c r="I272" i="1"/>
  <c r="H272" i="1"/>
  <c r="G272" i="1"/>
  <c r="F272" i="1"/>
  <c r="D272" i="1"/>
  <c r="I271" i="1"/>
  <c r="H271" i="1"/>
  <c r="G271" i="1"/>
  <c r="F271" i="1"/>
  <c r="D271" i="1"/>
  <c r="A271" i="1"/>
  <c r="I270" i="1"/>
  <c r="H270" i="1"/>
  <c r="G270" i="1"/>
  <c r="F270" i="1"/>
  <c r="D270" i="1"/>
  <c r="I269" i="1"/>
  <c r="H269" i="1"/>
  <c r="G269" i="1"/>
  <c r="F269" i="1"/>
  <c r="D269" i="1"/>
  <c r="A269" i="1"/>
  <c r="I268" i="1"/>
  <c r="H268" i="1"/>
  <c r="G268" i="1"/>
  <c r="F268" i="1"/>
  <c r="D268" i="1"/>
  <c r="I267" i="1"/>
  <c r="H267" i="1"/>
  <c r="G267" i="1"/>
  <c r="F267" i="1"/>
  <c r="D267" i="1"/>
  <c r="A267" i="1"/>
  <c r="I266" i="1"/>
  <c r="H266" i="1"/>
  <c r="G266" i="1"/>
  <c r="F266" i="1"/>
  <c r="D266" i="1"/>
  <c r="I265" i="1"/>
  <c r="H265" i="1"/>
  <c r="G265" i="1"/>
  <c r="F265" i="1"/>
  <c r="D265" i="1"/>
  <c r="A265" i="1"/>
  <c r="I264" i="1"/>
  <c r="H264" i="1"/>
  <c r="G264" i="1"/>
  <c r="F264" i="1"/>
  <c r="D264" i="1"/>
  <c r="I263" i="1"/>
  <c r="H263" i="1"/>
  <c r="G263" i="1"/>
  <c r="F263" i="1"/>
  <c r="D263" i="1"/>
  <c r="A263" i="1"/>
  <c r="I262" i="1"/>
  <c r="H262" i="1"/>
  <c r="G262" i="1"/>
  <c r="F262" i="1"/>
  <c r="D262" i="1"/>
  <c r="I261" i="1"/>
  <c r="H261" i="1"/>
  <c r="G261" i="1"/>
  <c r="F261" i="1"/>
  <c r="D261" i="1"/>
  <c r="I260" i="1"/>
  <c r="H260" i="1"/>
  <c r="G260" i="1"/>
  <c r="F260" i="1"/>
  <c r="D260" i="1"/>
  <c r="I259" i="1"/>
  <c r="H259" i="1"/>
  <c r="G259" i="1"/>
  <c r="F259" i="1"/>
  <c r="D259" i="1"/>
  <c r="I258" i="1"/>
  <c r="H258" i="1"/>
  <c r="G258" i="1"/>
  <c r="F258" i="1"/>
  <c r="D258" i="1"/>
  <c r="I257" i="1"/>
  <c r="H257" i="1"/>
  <c r="G257" i="1"/>
  <c r="F257" i="1"/>
  <c r="D257" i="1"/>
  <c r="A257" i="1"/>
  <c r="I256" i="1"/>
  <c r="H256" i="1"/>
  <c r="G256" i="1"/>
  <c r="F256" i="1"/>
  <c r="D256" i="1"/>
  <c r="I255" i="1"/>
  <c r="H255" i="1"/>
  <c r="G255" i="1"/>
  <c r="F255" i="1"/>
  <c r="D255" i="1"/>
  <c r="I254" i="1"/>
  <c r="H254" i="1"/>
  <c r="G254" i="1"/>
  <c r="F254" i="1"/>
  <c r="D254" i="1"/>
  <c r="I253" i="1"/>
  <c r="H253" i="1"/>
  <c r="G253" i="1"/>
  <c r="F253" i="1"/>
  <c r="D253" i="1"/>
  <c r="I252" i="1"/>
  <c r="H252" i="1"/>
  <c r="G252" i="1"/>
  <c r="F252" i="1"/>
  <c r="D252" i="1"/>
  <c r="I251" i="1"/>
  <c r="H251" i="1"/>
  <c r="G251" i="1"/>
  <c r="F251" i="1"/>
  <c r="D251" i="1"/>
  <c r="I250" i="1"/>
  <c r="H250" i="1"/>
  <c r="G250" i="1"/>
  <c r="F250" i="1"/>
  <c r="D250" i="1"/>
  <c r="I249" i="1"/>
  <c r="H249" i="1"/>
  <c r="G249" i="1"/>
  <c r="F249" i="1"/>
  <c r="D249" i="1"/>
  <c r="I248" i="1"/>
  <c r="H248" i="1"/>
  <c r="G248" i="1"/>
  <c r="F248" i="1"/>
  <c r="D248" i="1"/>
  <c r="I247" i="1"/>
  <c r="H247" i="1"/>
  <c r="G247" i="1"/>
  <c r="F247" i="1"/>
  <c r="D247" i="1"/>
  <c r="A247" i="1"/>
  <c r="I246" i="1"/>
  <c r="H246" i="1"/>
  <c r="G246" i="1"/>
  <c r="F246" i="1"/>
  <c r="D246" i="1"/>
  <c r="I245" i="1"/>
  <c r="H245" i="1"/>
  <c r="G245" i="1"/>
  <c r="F245" i="1"/>
  <c r="D245" i="1"/>
  <c r="A245" i="1"/>
  <c r="I244" i="1"/>
  <c r="H244" i="1"/>
  <c r="G244" i="1"/>
  <c r="F244" i="1"/>
  <c r="D244" i="1"/>
  <c r="I243" i="1"/>
  <c r="H243" i="1"/>
  <c r="G243" i="1"/>
  <c r="F243" i="1"/>
  <c r="D243" i="1"/>
  <c r="A243" i="1"/>
  <c r="I242" i="1"/>
  <c r="H242" i="1"/>
  <c r="G242" i="1"/>
  <c r="F242" i="1"/>
  <c r="D242" i="1"/>
  <c r="I241" i="1"/>
  <c r="H241" i="1"/>
  <c r="G241" i="1"/>
  <c r="F241" i="1"/>
  <c r="D241" i="1"/>
  <c r="A241" i="1"/>
  <c r="I240" i="1"/>
  <c r="H240" i="1"/>
  <c r="G240" i="1"/>
  <c r="F240" i="1"/>
  <c r="D240" i="1"/>
  <c r="I239" i="1"/>
  <c r="H239" i="1"/>
  <c r="G239" i="1"/>
  <c r="F239" i="1"/>
  <c r="D239" i="1"/>
  <c r="A239" i="1"/>
  <c r="I238" i="1"/>
  <c r="H238" i="1"/>
  <c r="G238" i="1"/>
  <c r="F238" i="1"/>
  <c r="D238" i="1"/>
  <c r="I237" i="1"/>
  <c r="H237" i="1"/>
  <c r="G237" i="1"/>
  <c r="F237" i="1"/>
  <c r="D237" i="1"/>
  <c r="I236" i="1"/>
  <c r="H236" i="1"/>
  <c r="G236" i="1"/>
  <c r="F236" i="1"/>
  <c r="D236" i="1"/>
  <c r="I235" i="1"/>
  <c r="H235" i="1"/>
  <c r="G235" i="1"/>
  <c r="F235" i="1"/>
  <c r="D235" i="1"/>
  <c r="I234" i="1"/>
  <c r="H234" i="1"/>
  <c r="G234" i="1"/>
  <c r="F234" i="1"/>
  <c r="D234" i="1"/>
  <c r="I233" i="1"/>
  <c r="H233" i="1"/>
  <c r="G233" i="1"/>
  <c r="F233" i="1"/>
  <c r="D233" i="1"/>
  <c r="A233" i="1"/>
  <c r="I232" i="1"/>
  <c r="H232" i="1"/>
  <c r="G232" i="1"/>
  <c r="F232" i="1"/>
  <c r="D232" i="1"/>
  <c r="I231" i="1"/>
  <c r="H231" i="1"/>
  <c r="G231" i="1"/>
  <c r="F231" i="1"/>
  <c r="D231" i="1"/>
  <c r="I230" i="1"/>
  <c r="H230" i="1"/>
  <c r="G230" i="1"/>
  <c r="F230" i="1"/>
  <c r="D230" i="1"/>
  <c r="I229" i="1"/>
  <c r="H229" i="1"/>
  <c r="G229" i="1"/>
  <c r="F229" i="1"/>
  <c r="D229" i="1"/>
  <c r="I228" i="1"/>
  <c r="H228" i="1"/>
  <c r="G228" i="1"/>
  <c r="F228" i="1"/>
  <c r="D228" i="1"/>
  <c r="I227" i="1"/>
  <c r="H227" i="1"/>
  <c r="G227" i="1"/>
  <c r="F227" i="1"/>
  <c r="D227" i="1"/>
  <c r="I226" i="1"/>
  <c r="H226" i="1"/>
  <c r="G226" i="1"/>
  <c r="F226" i="1"/>
  <c r="D226" i="1"/>
  <c r="I225" i="1"/>
  <c r="H225" i="1"/>
  <c r="G225" i="1"/>
  <c r="F225" i="1"/>
  <c r="D225" i="1"/>
  <c r="I224" i="1"/>
  <c r="H224" i="1"/>
  <c r="G224" i="1"/>
  <c r="F224" i="1"/>
  <c r="D224" i="1"/>
  <c r="I223" i="1"/>
  <c r="H223" i="1"/>
  <c r="G223" i="1"/>
  <c r="F223" i="1"/>
  <c r="D223" i="1"/>
  <c r="A223" i="1"/>
  <c r="I222" i="1"/>
  <c r="H222" i="1"/>
  <c r="G222" i="1"/>
  <c r="F222" i="1"/>
  <c r="D222" i="1"/>
  <c r="I221" i="1"/>
  <c r="H221" i="1"/>
  <c r="G221" i="1"/>
  <c r="F221" i="1"/>
  <c r="D221" i="1"/>
  <c r="A221" i="1"/>
  <c r="I220" i="1"/>
  <c r="H220" i="1"/>
  <c r="G220" i="1"/>
  <c r="F220" i="1"/>
  <c r="D220" i="1"/>
  <c r="I219" i="1"/>
  <c r="H219" i="1"/>
  <c r="G219" i="1"/>
  <c r="F219" i="1"/>
  <c r="D219" i="1"/>
  <c r="A219" i="1"/>
  <c r="I218" i="1"/>
  <c r="H218" i="1"/>
  <c r="G218" i="1"/>
  <c r="F218" i="1"/>
  <c r="D218" i="1"/>
  <c r="I217" i="1"/>
  <c r="H217" i="1"/>
  <c r="G217" i="1"/>
  <c r="F217" i="1"/>
  <c r="D217" i="1"/>
  <c r="A217" i="1"/>
  <c r="I216" i="1"/>
  <c r="H216" i="1"/>
  <c r="G216" i="1"/>
  <c r="F216" i="1"/>
  <c r="D216" i="1"/>
  <c r="I215" i="1"/>
  <c r="H215" i="1"/>
  <c r="G215" i="1"/>
  <c r="F215" i="1"/>
  <c r="D215" i="1"/>
  <c r="A215" i="1"/>
  <c r="I214" i="1"/>
  <c r="H214" i="1"/>
  <c r="G214" i="1"/>
  <c r="F214" i="1"/>
  <c r="D214" i="1"/>
  <c r="I213" i="1"/>
  <c r="H213" i="1"/>
  <c r="G213" i="1"/>
  <c r="F213" i="1"/>
  <c r="D213" i="1"/>
  <c r="I212" i="1"/>
  <c r="H212" i="1"/>
  <c r="G212" i="1"/>
  <c r="F212" i="1"/>
  <c r="D212" i="1"/>
  <c r="I211" i="1"/>
  <c r="H211" i="1"/>
  <c r="G211" i="1"/>
  <c r="F211" i="1"/>
  <c r="D211" i="1"/>
  <c r="I210" i="1"/>
  <c r="H210" i="1"/>
  <c r="G210" i="1"/>
  <c r="F210" i="1"/>
  <c r="D210" i="1"/>
  <c r="I209" i="1"/>
  <c r="H209" i="1"/>
  <c r="G209" i="1"/>
  <c r="F209" i="1"/>
  <c r="D209" i="1"/>
  <c r="A209" i="1"/>
  <c r="I208" i="1"/>
  <c r="H208" i="1"/>
  <c r="G208" i="1"/>
  <c r="F208" i="1"/>
  <c r="D208" i="1"/>
  <c r="I207" i="1"/>
  <c r="H207" i="1"/>
  <c r="G207" i="1"/>
  <c r="F207" i="1"/>
  <c r="D207" i="1"/>
  <c r="I206" i="1"/>
  <c r="H206" i="1"/>
  <c r="G206" i="1"/>
  <c r="F206" i="1"/>
  <c r="D206" i="1"/>
  <c r="I205" i="1"/>
  <c r="H205" i="1"/>
  <c r="G205" i="1"/>
  <c r="F205" i="1"/>
  <c r="D205" i="1"/>
  <c r="I204" i="1"/>
  <c r="H204" i="1"/>
  <c r="G204" i="1"/>
  <c r="F204" i="1"/>
  <c r="D204" i="1"/>
  <c r="I203" i="1"/>
  <c r="H203" i="1"/>
  <c r="G203" i="1"/>
  <c r="F203" i="1"/>
  <c r="D203" i="1"/>
  <c r="I202" i="1"/>
  <c r="H202" i="1"/>
  <c r="G202" i="1"/>
  <c r="F202" i="1"/>
  <c r="D202" i="1"/>
  <c r="I201" i="1"/>
  <c r="H201" i="1"/>
  <c r="G201" i="1"/>
  <c r="F201" i="1"/>
  <c r="D201" i="1"/>
  <c r="I200" i="1"/>
  <c r="H200" i="1"/>
  <c r="G200" i="1"/>
  <c r="F200" i="1"/>
  <c r="D200" i="1"/>
  <c r="I199" i="1"/>
  <c r="H199" i="1"/>
  <c r="G199" i="1"/>
  <c r="F199" i="1"/>
  <c r="D199" i="1"/>
  <c r="A199" i="1"/>
  <c r="I198" i="1"/>
  <c r="H198" i="1"/>
  <c r="G198" i="1"/>
  <c r="F198" i="1"/>
  <c r="D198" i="1"/>
  <c r="I197" i="1"/>
  <c r="H197" i="1"/>
  <c r="G197" i="1"/>
  <c r="F197" i="1"/>
  <c r="D197" i="1"/>
  <c r="A197" i="1"/>
  <c r="I196" i="1"/>
  <c r="H196" i="1"/>
  <c r="G196" i="1"/>
  <c r="F196" i="1"/>
  <c r="D196" i="1"/>
  <c r="I195" i="1"/>
  <c r="H195" i="1"/>
  <c r="G195" i="1"/>
  <c r="F195" i="1"/>
  <c r="D195" i="1"/>
  <c r="A195" i="1"/>
  <c r="I194" i="1"/>
  <c r="H194" i="1"/>
  <c r="G194" i="1"/>
  <c r="F194" i="1"/>
  <c r="D194" i="1"/>
  <c r="I193" i="1"/>
  <c r="H193" i="1"/>
  <c r="G193" i="1"/>
  <c r="F193" i="1"/>
  <c r="D193" i="1"/>
  <c r="A193" i="1"/>
  <c r="I192" i="1"/>
  <c r="H192" i="1"/>
  <c r="G192" i="1"/>
  <c r="F192" i="1"/>
  <c r="D192" i="1"/>
  <c r="I191" i="1"/>
  <c r="H191" i="1"/>
  <c r="G191" i="1"/>
  <c r="F191" i="1"/>
  <c r="D191" i="1"/>
  <c r="A191" i="1"/>
  <c r="I190" i="1"/>
  <c r="H190" i="1"/>
  <c r="G190" i="1"/>
  <c r="F190" i="1"/>
  <c r="D190" i="1"/>
  <c r="I189" i="1"/>
  <c r="H189" i="1"/>
  <c r="G189" i="1"/>
  <c r="F189" i="1"/>
  <c r="D189" i="1"/>
  <c r="I188" i="1"/>
  <c r="H188" i="1"/>
  <c r="G188" i="1"/>
  <c r="F188" i="1"/>
  <c r="D188" i="1"/>
  <c r="I187" i="1"/>
  <c r="H187" i="1"/>
  <c r="G187" i="1"/>
  <c r="F187" i="1"/>
  <c r="D187" i="1"/>
  <c r="I186" i="1"/>
  <c r="H186" i="1"/>
  <c r="G186" i="1"/>
  <c r="F186" i="1"/>
  <c r="D186" i="1"/>
  <c r="I185" i="1"/>
  <c r="H185" i="1"/>
  <c r="G185" i="1"/>
  <c r="F185" i="1"/>
  <c r="D185" i="1"/>
  <c r="A185" i="1"/>
  <c r="I184" i="1"/>
  <c r="H184" i="1"/>
  <c r="G184" i="1"/>
  <c r="F184" i="1"/>
  <c r="D184" i="1"/>
  <c r="I183" i="1"/>
  <c r="H183" i="1"/>
  <c r="G183" i="1"/>
  <c r="F183" i="1"/>
  <c r="D183" i="1"/>
  <c r="I182" i="1"/>
  <c r="H182" i="1"/>
  <c r="G182" i="1"/>
  <c r="F182" i="1"/>
  <c r="D182" i="1"/>
  <c r="I181" i="1"/>
  <c r="H181" i="1"/>
  <c r="G181" i="1"/>
  <c r="F181" i="1"/>
  <c r="D181" i="1"/>
  <c r="I180" i="1"/>
  <c r="H180" i="1"/>
  <c r="G180" i="1"/>
  <c r="F180" i="1"/>
  <c r="D180" i="1"/>
  <c r="I179" i="1"/>
  <c r="H179" i="1"/>
  <c r="G179" i="1"/>
  <c r="F179" i="1"/>
  <c r="D179" i="1"/>
  <c r="I178" i="1"/>
  <c r="H178" i="1"/>
  <c r="G178" i="1"/>
  <c r="F178" i="1"/>
  <c r="D178" i="1"/>
  <c r="I177" i="1"/>
  <c r="H177" i="1"/>
  <c r="G177" i="1"/>
  <c r="F177" i="1"/>
  <c r="D177" i="1"/>
  <c r="I176" i="1"/>
  <c r="H176" i="1"/>
  <c r="G176" i="1"/>
  <c r="F176" i="1"/>
  <c r="D176" i="1"/>
  <c r="I175" i="1"/>
  <c r="H175" i="1"/>
  <c r="G175" i="1"/>
  <c r="F175" i="1"/>
  <c r="D175" i="1"/>
  <c r="A175" i="1"/>
  <c r="I174" i="1"/>
  <c r="H174" i="1"/>
  <c r="G174" i="1"/>
  <c r="F174" i="1"/>
  <c r="D174" i="1"/>
  <c r="I173" i="1"/>
  <c r="H173" i="1"/>
  <c r="G173" i="1"/>
  <c r="F173" i="1"/>
  <c r="D173" i="1"/>
  <c r="A173" i="1"/>
  <c r="I172" i="1"/>
  <c r="H172" i="1"/>
  <c r="G172" i="1"/>
  <c r="F172" i="1"/>
  <c r="D172" i="1"/>
  <c r="I171" i="1"/>
  <c r="H171" i="1"/>
  <c r="G171" i="1"/>
  <c r="F171" i="1"/>
  <c r="D171" i="1"/>
  <c r="A171" i="1"/>
  <c r="I170" i="1"/>
  <c r="H170" i="1"/>
  <c r="G170" i="1"/>
  <c r="F170" i="1"/>
  <c r="D170" i="1"/>
  <c r="I169" i="1"/>
  <c r="H169" i="1"/>
  <c r="G169" i="1"/>
  <c r="F169" i="1"/>
  <c r="D169" i="1"/>
  <c r="A169" i="1"/>
  <c r="I168" i="1"/>
  <c r="H168" i="1"/>
  <c r="G168" i="1"/>
  <c r="F168" i="1"/>
  <c r="D168" i="1"/>
  <c r="I167" i="1"/>
  <c r="H167" i="1"/>
  <c r="G167" i="1"/>
  <c r="F167" i="1"/>
  <c r="D167" i="1"/>
  <c r="A167" i="1"/>
  <c r="I166" i="1"/>
  <c r="H166" i="1"/>
  <c r="G166" i="1"/>
  <c r="F166" i="1"/>
  <c r="D166" i="1"/>
  <c r="I165" i="1"/>
  <c r="H165" i="1"/>
  <c r="G165" i="1"/>
  <c r="F165" i="1"/>
  <c r="D165" i="1"/>
  <c r="I164" i="1"/>
  <c r="H164" i="1"/>
  <c r="G164" i="1"/>
  <c r="F164" i="1"/>
  <c r="D164" i="1"/>
  <c r="I163" i="1"/>
  <c r="H163" i="1"/>
  <c r="G163" i="1"/>
  <c r="F163" i="1"/>
  <c r="D163" i="1"/>
  <c r="I162" i="1"/>
  <c r="H162" i="1"/>
  <c r="G162" i="1"/>
  <c r="F162" i="1"/>
  <c r="D162" i="1"/>
  <c r="I161" i="1"/>
  <c r="H161" i="1"/>
  <c r="G161" i="1"/>
  <c r="F161" i="1"/>
  <c r="D161" i="1"/>
  <c r="A161" i="1"/>
  <c r="I160" i="1"/>
  <c r="H160" i="1"/>
  <c r="G160" i="1"/>
  <c r="F160" i="1"/>
  <c r="D160" i="1"/>
  <c r="I159" i="1"/>
  <c r="H159" i="1"/>
  <c r="G159" i="1"/>
  <c r="F159" i="1"/>
  <c r="D159" i="1"/>
  <c r="I158" i="1"/>
  <c r="H158" i="1"/>
  <c r="G158" i="1"/>
  <c r="F158" i="1"/>
  <c r="D158" i="1"/>
  <c r="I157" i="1"/>
  <c r="H157" i="1"/>
  <c r="G157" i="1"/>
  <c r="F157" i="1"/>
  <c r="D157" i="1"/>
  <c r="I156" i="1"/>
  <c r="H156" i="1"/>
  <c r="G156" i="1"/>
  <c r="F156" i="1"/>
  <c r="D156" i="1"/>
  <c r="I155" i="1"/>
  <c r="H155" i="1"/>
  <c r="G155" i="1"/>
  <c r="F155" i="1"/>
  <c r="D155" i="1"/>
  <c r="I154" i="1"/>
  <c r="H154" i="1"/>
  <c r="G154" i="1"/>
  <c r="F154" i="1"/>
  <c r="D154" i="1"/>
  <c r="I153" i="1"/>
  <c r="H153" i="1"/>
  <c r="G153" i="1"/>
  <c r="F153" i="1"/>
  <c r="D153" i="1"/>
  <c r="I152" i="1"/>
  <c r="H152" i="1"/>
  <c r="G152" i="1"/>
  <c r="F152" i="1"/>
  <c r="D152" i="1"/>
  <c r="I151" i="1"/>
  <c r="H151" i="1"/>
  <c r="G151" i="1"/>
  <c r="F151" i="1"/>
  <c r="D151" i="1"/>
  <c r="A151" i="1"/>
  <c r="I150" i="1"/>
  <c r="H150" i="1"/>
  <c r="G150" i="1"/>
  <c r="F150" i="1"/>
  <c r="D150" i="1"/>
  <c r="I149" i="1"/>
  <c r="H149" i="1"/>
  <c r="G149" i="1"/>
  <c r="F149" i="1"/>
  <c r="D149" i="1"/>
  <c r="A149" i="1"/>
  <c r="I148" i="1"/>
  <c r="H148" i="1"/>
  <c r="G148" i="1"/>
  <c r="F148" i="1"/>
  <c r="D148" i="1"/>
  <c r="I147" i="1"/>
  <c r="H147" i="1"/>
  <c r="G147" i="1"/>
  <c r="F147" i="1"/>
  <c r="D147" i="1"/>
  <c r="A147" i="1"/>
  <c r="I146" i="1"/>
  <c r="H146" i="1"/>
  <c r="G146" i="1"/>
  <c r="F146" i="1"/>
  <c r="D146" i="1"/>
  <c r="I145" i="1"/>
  <c r="H145" i="1"/>
  <c r="G145" i="1"/>
  <c r="F145" i="1"/>
  <c r="D145" i="1"/>
  <c r="A145" i="1"/>
  <c r="I144" i="1"/>
  <c r="H144" i="1"/>
  <c r="G144" i="1"/>
  <c r="F144" i="1"/>
  <c r="D144" i="1"/>
  <c r="I143" i="1"/>
  <c r="H143" i="1"/>
  <c r="G143" i="1"/>
  <c r="F143" i="1"/>
  <c r="D143" i="1"/>
  <c r="A143" i="1"/>
  <c r="I142" i="1"/>
  <c r="H142" i="1"/>
  <c r="G142" i="1"/>
  <c r="F142" i="1"/>
  <c r="D142" i="1"/>
  <c r="I141" i="1"/>
  <c r="H141" i="1"/>
  <c r="G141" i="1"/>
  <c r="F141" i="1"/>
  <c r="D141" i="1"/>
  <c r="I140" i="1"/>
  <c r="H140" i="1"/>
  <c r="G140" i="1"/>
  <c r="F140" i="1"/>
  <c r="D140" i="1"/>
  <c r="I139" i="1"/>
  <c r="H139" i="1"/>
  <c r="G139" i="1"/>
  <c r="F139" i="1"/>
  <c r="D139" i="1"/>
  <c r="I138" i="1"/>
  <c r="H138" i="1"/>
  <c r="G138" i="1"/>
  <c r="F138" i="1"/>
  <c r="D138" i="1"/>
  <c r="I137" i="1"/>
  <c r="H137" i="1"/>
  <c r="G137" i="1"/>
  <c r="F137" i="1"/>
  <c r="D137" i="1"/>
  <c r="A137" i="1"/>
  <c r="I136" i="1"/>
  <c r="H136" i="1"/>
  <c r="G136" i="1"/>
  <c r="F136" i="1"/>
  <c r="D136" i="1"/>
  <c r="I135" i="1"/>
  <c r="H135" i="1"/>
  <c r="G135" i="1"/>
  <c r="F135" i="1"/>
  <c r="D135" i="1"/>
  <c r="I134" i="1"/>
  <c r="H134" i="1"/>
  <c r="G134" i="1"/>
  <c r="F134" i="1"/>
  <c r="D134" i="1"/>
  <c r="I133" i="1"/>
  <c r="H133" i="1"/>
  <c r="G133" i="1"/>
  <c r="F133" i="1"/>
  <c r="D133" i="1"/>
  <c r="I132" i="1"/>
  <c r="H132" i="1"/>
  <c r="G132" i="1"/>
  <c r="F132" i="1"/>
  <c r="D132" i="1"/>
  <c r="I131" i="1"/>
  <c r="H131" i="1"/>
  <c r="G131" i="1"/>
  <c r="F131" i="1"/>
  <c r="D131" i="1"/>
  <c r="I130" i="1"/>
  <c r="H130" i="1"/>
  <c r="G130" i="1"/>
  <c r="F130" i="1"/>
  <c r="D130" i="1"/>
  <c r="I129" i="1"/>
  <c r="H129" i="1"/>
  <c r="G129" i="1"/>
  <c r="F129" i="1"/>
  <c r="D129" i="1"/>
  <c r="I128" i="1"/>
  <c r="H128" i="1"/>
  <c r="G128" i="1"/>
  <c r="F128" i="1"/>
  <c r="D128" i="1"/>
  <c r="I127" i="1"/>
  <c r="H127" i="1"/>
  <c r="G127" i="1"/>
  <c r="F127" i="1"/>
  <c r="D127" i="1"/>
  <c r="A127" i="1"/>
  <c r="I126" i="1"/>
  <c r="H126" i="1"/>
  <c r="G126" i="1"/>
  <c r="F126" i="1"/>
  <c r="D126" i="1"/>
  <c r="I125" i="1"/>
  <c r="H125" i="1"/>
  <c r="G125" i="1"/>
  <c r="F125" i="1"/>
  <c r="D125" i="1"/>
  <c r="A125" i="1"/>
  <c r="I124" i="1"/>
  <c r="H124" i="1"/>
  <c r="G124" i="1"/>
  <c r="F124" i="1"/>
  <c r="D124" i="1"/>
  <c r="I123" i="1"/>
  <c r="H123" i="1"/>
  <c r="G123" i="1"/>
  <c r="F123" i="1"/>
  <c r="D123" i="1"/>
  <c r="A123" i="1"/>
  <c r="I122" i="1"/>
  <c r="H122" i="1"/>
  <c r="G122" i="1"/>
  <c r="F122" i="1"/>
  <c r="D122" i="1"/>
  <c r="I121" i="1"/>
  <c r="H121" i="1"/>
  <c r="G121" i="1"/>
  <c r="F121" i="1"/>
  <c r="D121" i="1"/>
  <c r="A121" i="1"/>
  <c r="I120" i="1"/>
  <c r="H120" i="1"/>
  <c r="G120" i="1"/>
  <c r="F120" i="1"/>
  <c r="D120" i="1"/>
  <c r="I119" i="1"/>
  <c r="H119" i="1"/>
  <c r="G119" i="1"/>
  <c r="F119" i="1"/>
  <c r="D119" i="1"/>
  <c r="A119" i="1"/>
  <c r="I118" i="1"/>
  <c r="H118" i="1"/>
  <c r="G118" i="1"/>
  <c r="F118" i="1"/>
  <c r="D118" i="1"/>
  <c r="I117" i="1"/>
  <c r="H117" i="1"/>
  <c r="G117" i="1"/>
  <c r="F117" i="1"/>
  <c r="D117" i="1"/>
  <c r="I116" i="1"/>
  <c r="H116" i="1"/>
  <c r="G116" i="1"/>
  <c r="F116" i="1"/>
  <c r="D116" i="1"/>
  <c r="I115" i="1"/>
  <c r="H115" i="1"/>
  <c r="G115" i="1"/>
  <c r="F115" i="1"/>
  <c r="D115" i="1"/>
  <c r="I114" i="1"/>
  <c r="H114" i="1"/>
  <c r="G114" i="1"/>
  <c r="F114" i="1"/>
  <c r="D114" i="1"/>
  <c r="I113" i="1"/>
  <c r="H113" i="1"/>
  <c r="G113" i="1"/>
  <c r="F113" i="1"/>
  <c r="D113" i="1"/>
  <c r="A113" i="1"/>
  <c r="I112" i="1"/>
  <c r="H112" i="1"/>
  <c r="G112" i="1"/>
  <c r="F112" i="1"/>
  <c r="D112" i="1"/>
  <c r="I111" i="1"/>
  <c r="H111" i="1"/>
  <c r="G111" i="1"/>
  <c r="F111" i="1"/>
  <c r="D111" i="1"/>
  <c r="I110" i="1"/>
  <c r="H110" i="1"/>
  <c r="G110" i="1"/>
  <c r="F110" i="1"/>
  <c r="D110" i="1"/>
  <c r="I109" i="1"/>
  <c r="H109" i="1"/>
  <c r="G109" i="1"/>
  <c r="F109" i="1"/>
  <c r="D109" i="1"/>
  <c r="I108" i="1"/>
  <c r="H108" i="1"/>
  <c r="G108" i="1"/>
  <c r="F108" i="1"/>
  <c r="D108" i="1"/>
  <c r="I107" i="1"/>
  <c r="H107" i="1"/>
  <c r="G107" i="1"/>
  <c r="F107" i="1"/>
  <c r="D107" i="1"/>
  <c r="I106" i="1"/>
  <c r="H106" i="1"/>
  <c r="G106" i="1"/>
  <c r="F106" i="1"/>
  <c r="D106" i="1"/>
  <c r="I105" i="1"/>
  <c r="H105" i="1"/>
  <c r="G105" i="1"/>
  <c r="F105" i="1"/>
  <c r="D105" i="1"/>
  <c r="I104" i="1"/>
  <c r="H104" i="1"/>
  <c r="G104" i="1"/>
  <c r="F104" i="1"/>
  <c r="D104" i="1"/>
  <c r="I103" i="1"/>
  <c r="H103" i="1"/>
  <c r="G103" i="1"/>
  <c r="F103" i="1"/>
  <c r="D103" i="1"/>
  <c r="A103" i="1"/>
  <c r="I102" i="1"/>
  <c r="H102" i="1"/>
  <c r="G102" i="1"/>
  <c r="F102" i="1"/>
  <c r="D102" i="1"/>
  <c r="I101" i="1"/>
  <c r="H101" i="1"/>
  <c r="G101" i="1"/>
  <c r="F101" i="1"/>
  <c r="D101" i="1"/>
  <c r="A101" i="1"/>
  <c r="I100" i="1"/>
  <c r="H100" i="1"/>
  <c r="G100" i="1"/>
  <c r="F100" i="1"/>
  <c r="D100" i="1"/>
  <c r="I99" i="1"/>
  <c r="H99" i="1"/>
  <c r="G99" i="1"/>
  <c r="F99" i="1"/>
  <c r="D99" i="1"/>
  <c r="A99" i="1"/>
  <c r="I98" i="1"/>
  <c r="H98" i="1"/>
  <c r="G98" i="1"/>
  <c r="F98" i="1"/>
  <c r="D98" i="1"/>
  <c r="I97" i="1"/>
  <c r="H97" i="1"/>
  <c r="G97" i="1"/>
  <c r="F97" i="1"/>
  <c r="D97" i="1"/>
  <c r="A97" i="1"/>
  <c r="I96" i="1"/>
  <c r="H96" i="1"/>
  <c r="G96" i="1"/>
  <c r="F96" i="1"/>
  <c r="D96" i="1"/>
  <c r="I95" i="1"/>
  <c r="H95" i="1"/>
  <c r="G95" i="1"/>
  <c r="F95" i="1"/>
  <c r="D95" i="1"/>
  <c r="A95" i="1"/>
  <c r="I94" i="1"/>
  <c r="H94" i="1"/>
  <c r="G94" i="1"/>
  <c r="F94" i="1"/>
  <c r="D94" i="1"/>
  <c r="I93" i="1"/>
  <c r="H93" i="1"/>
  <c r="G93" i="1"/>
  <c r="F93" i="1"/>
  <c r="D93" i="1"/>
  <c r="I92" i="1"/>
  <c r="H92" i="1"/>
  <c r="G92" i="1"/>
  <c r="F92" i="1"/>
  <c r="D92" i="1"/>
  <c r="I91" i="1"/>
  <c r="H91" i="1"/>
  <c r="G91" i="1"/>
  <c r="F91" i="1"/>
  <c r="D91" i="1"/>
  <c r="I90" i="1"/>
  <c r="H90" i="1"/>
  <c r="G90" i="1"/>
  <c r="F90" i="1"/>
  <c r="D90" i="1"/>
  <c r="I89" i="1"/>
  <c r="H89" i="1"/>
  <c r="G89" i="1"/>
  <c r="F89" i="1"/>
  <c r="D89" i="1"/>
  <c r="A89" i="1"/>
  <c r="I88" i="1"/>
  <c r="H88" i="1"/>
  <c r="G88" i="1"/>
  <c r="F88" i="1"/>
  <c r="D88" i="1"/>
  <c r="I87" i="1"/>
  <c r="H87" i="1"/>
  <c r="G87" i="1"/>
  <c r="F87" i="1"/>
  <c r="D87" i="1"/>
  <c r="I86" i="1"/>
  <c r="H86" i="1"/>
  <c r="G86" i="1"/>
  <c r="F86" i="1"/>
  <c r="D86" i="1"/>
  <c r="I85" i="1"/>
  <c r="H85" i="1"/>
  <c r="G85" i="1"/>
  <c r="F85" i="1"/>
  <c r="D85" i="1"/>
  <c r="I84" i="1"/>
  <c r="H84" i="1"/>
  <c r="G84" i="1"/>
  <c r="F84" i="1"/>
  <c r="D84" i="1"/>
  <c r="I83" i="1"/>
  <c r="H83" i="1"/>
  <c r="G83" i="1"/>
  <c r="F83" i="1"/>
  <c r="D83" i="1"/>
  <c r="I82" i="1"/>
  <c r="H82" i="1"/>
  <c r="G82" i="1"/>
  <c r="F82" i="1"/>
  <c r="D82" i="1"/>
  <c r="I81" i="1"/>
  <c r="H81" i="1"/>
  <c r="G81" i="1"/>
  <c r="F81" i="1"/>
  <c r="D81" i="1"/>
  <c r="I80" i="1"/>
  <c r="H80" i="1"/>
  <c r="G80" i="1"/>
  <c r="F80" i="1"/>
  <c r="D80" i="1"/>
  <c r="I79" i="1"/>
  <c r="H79" i="1"/>
  <c r="G79" i="1"/>
  <c r="F79" i="1"/>
  <c r="D79" i="1"/>
  <c r="A79" i="1"/>
  <c r="I78" i="1"/>
  <c r="H78" i="1"/>
  <c r="G78" i="1"/>
  <c r="F78" i="1"/>
  <c r="D78" i="1"/>
  <c r="I77" i="1"/>
  <c r="H77" i="1"/>
  <c r="G77" i="1"/>
  <c r="F77" i="1"/>
  <c r="D77" i="1"/>
  <c r="A77" i="1"/>
  <c r="I76" i="1"/>
  <c r="H76" i="1"/>
  <c r="G76" i="1"/>
  <c r="F76" i="1"/>
  <c r="D76" i="1"/>
  <c r="I75" i="1"/>
  <c r="H75" i="1"/>
  <c r="G75" i="1"/>
  <c r="F75" i="1"/>
  <c r="D75" i="1"/>
  <c r="A75" i="1"/>
  <c r="I74" i="1"/>
  <c r="H74" i="1"/>
  <c r="G74" i="1"/>
  <c r="F74" i="1"/>
  <c r="D74" i="1"/>
  <c r="I73" i="1"/>
  <c r="H73" i="1"/>
  <c r="G73" i="1"/>
  <c r="F73" i="1"/>
  <c r="D73" i="1"/>
  <c r="A73" i="1"/>
  <c r="I72" i="1"/>
  <c r="H72" i="1"/>
  <c r="G72" i="1"/>
  <c r="F72" i="1"/>
  <c r="D72" i="1"/>
  <c r="I71" i="1"/>
  <c r="H71" i="1"/>
  <c r="G71" i="1"/>
  <c r="F71" i="1"/>
  <c r="D71" i="1"/>
  <c r="A71" i="1"/>
  <c r="I70" i="1"/>
  <c r="H70" i="1"/>
  <c r="G70" i="1"/>
  <c r="F70" i="1"/>
  <c r="D70" i="1"/>
  <c r="I69" i="1"/>
  <c r="H69" i="1"/>
  <c r="G69" i="1"/>
  <c r="F69" i="1"/>
  <c r="D69" i="1"/>
  <c r="I68" i="1"/>
  <c r="H68" i="1"/>
  <c r="G68" i="1"/>
  <c r="F68" i="1"/>
  <c r="D68" i="1"/>
  <c r="I67" i="1"/>
  <c r="H67" i="1"/>
  <c r="G67" i="1"/>
  <c r="F67" i="1"/>
  <c r="D67" i="1"/>
  <c r="I66" i="1"/>
  <c r="H66" i="1"/>
  <c r="G66" i="1"/>
  <c r="F66" i="1"/>
  <c r="D66" i="1"/>
  <c r="I65" i="1"/>
  <c r="H65" i="1"/>
  <c r="G65" i="1"/>
  <c r="F65" i="1"/>
  <c r="D65" i="1"/>
  <c r="A65" i="1"/>
  <c r="I64" i="1"/>
  <c r="H64" i="1"/>
  <c r="G64" i="1"/>
  <c r="F64" i="1"/>
  <c r="D64" i="1"/>
  <c r="I63" i="1"/>
  <c r="H63" i="1"/>
  <c r="G63" i="1"/>
  <c r="F63" i="1"/>
  <c r="D63" i="1"/>
  <c r="I62" i="1"/>
  <c r="H62" i="1"/>
  <c r="G62" i="1"/>
  <c r="F62" i="1"/>
  <c r="D62" i="1"/>
  <c r="I61" i="1"/>
  <c r="H61" i="1"/>
  <c r="G61" i="1"/>
  <c r="F61" i="1"/>
  <c r="D61" i="1"/>
  <c r="I60" i="1"/>
  <c r="H60" i="1"/>
  <c r="G60" i="1"/>
  <c r="F60" i="1"/>
  <c r="D60" i="1"/>
  <c r="I59" i="1"/>
  <c r="H59" i="1"/>
  <c r="G59" i="1"/>
  <c r="F59" i="1"/>
  <c r="D59" i="1"/>
  <c r="I58" i="1"/>
  <c r="H58" i="1"/>
  <c r="G58" i="1"/>
  <c r="F58" i="1"/>
  <c r="D58" i="1"/>
  <c r="I57" i="1"/>
  <c r="H57" i="1"/>
  <c r="G57" i="1"/>
  <c r="F57" i="1"/>
  <c r="D57" i="1"/>
  <c r="I56" i="1"/>
  <c r="H56" i="1"/>
  <c r="G56" i="1"/>
  <c r="F56" i="1"/>
  <c r="D56" i="1"/>
  <c r="I55" i="1"/>
  <c r="H55" i="1"/>
  <c r="G55" i="1"/>
  <c r="F55" i="1"/>
  <c r="D55" i="1"/>
  <c r="A55" i="1"/>
  <c r="I54" i="1"/>
  <c r="H54" i="1"/>
  <c r="G54" i="1"/>
  <c r="F54" i="1"/>
  <c r="D54" i="1"/>
  <c r="I53" i="1"/>
  <c r="H53" i="1"/>
  <c r="G53" i="1"/>
  <c r="F53" i="1"/>
  <c r="D53" i="1"/>
  <c r="A53" i="1"/>
  <c r="I52" i="1"/>
  <c r="H52" i="1"/>
  <c r="G52" i="1"/>
  <c r="F52" i="1"/>
  <c r="D52" i="1"/>
  <c r="I51" i="1"/>
  <c r="H51" i="1"/>
  <c r="G51" i="1"/>
  <c r="F51" i="1"/>
  <c r="D51" i="1"/>
  <c r="A51" i="1"/>
  <c r="I50" i="1"/>
  <c r="H50" i="1"/>
  <c r="G50" i="1"/>
  <c r="F50" i="1"/>
  <c r="D50" i="1"/>
  <c r="I49" i="1"/>
  <c r="H49" i="1"/>
  <c r="G49" i="1"/>
  <c r="F49" i="1"/>
  <c r="D49" i="1"/>
  <c r="A49" i="1"/>
  <c r="I48" i="1"/>
  <c r="H48" i="1"/>
  <c r="G48" i="1"/>
  <c r="F48" i="1"/>
  <c r="D48" i="1"/>
  <c r="I47" i="1"/>
  <c r="H47" i="1"/>
  <c r="G47" i="1"/>
  <c r="F47" i="1"/>
  <c r="D47" i="1"/>
  <c r="A47" i="1"/>
  <c r="I46" i="1"/>
  <c r="H46" i="1"/>
  <c r="G46" i="1"/>
  <c r="F46" i="1"/>
  <c r="D46" i="1"/>
  <c r="I45" i="1"/>
  <c r="H45" i="1"/>
  <c r="G45" i="1"/>
  <c r="F45" i="1"/>
  <c r="D45" i="1"/>
  <c r="I44" i="1"/>
  <c r="H44" i="1"/>
  <c r="G44" i="1"/>
  <c r="F44" i="1"/>
  <c r="D44" i="1"/>
  <c r="I43" i="1"/>
  <c r="H43" i="1"/>
  <c r="G43" i="1"/>
  <c r="F43" i="1"/>
  <c r="D43" i="1"/>
  <c r="I42" i="1"/>
  <c r="H42" i="1"/>
  <c r="G42" i="1"/>
  <c r="F42" i="1"/>
  <c r="D42" i="1"/>
  <c r="I41" i="1"/>
  <c r="H41" i="1"/>
  <c r="G41" i="1"/>
  <c r="F41" i="1"/>
  <c r="D41" i="1"/>
  <c r="A41" i="1"/>
  <c r="I40" i="1"/>
  <c r="H40" i="1"/>
  <c r="G40" i="1"/>
  <c r="F40" i="1"/>
  <c r="D40" i="1"/>
  <c r="I39" i="1"/>
  <c r="H39" i="1"/>
  <c r="G39" i="1"/>
  <c r="F39" i="1"/>
  <c r="D39" i="1"/>
  <c r="I38" i="1"/>
  <c r="H38" i="1"/>
  <c r="G38" i="1"/>
  <c r="F38" i="1"/>
  <c r="D38" i="1"/>
  <c r="I37" i="1"/>
  <c r="H37" i="1"/>
  <c r="G37" i="1"/>
  <c r="F37" i="1"/>
  <c r="D37" i="1"/>
  <c r="I36" i="1"/>
  <c r="H36" i="1"/>
  <c r="G36" i="1"/>
  <c r="F36" i="1"/>
  <c r="D36" i="1"/>
  <c r="I35" i="1"/>
  <c r="H35" i="1"/>
  <c r="G35" i="1"/>
  <c r="F35" i="1"/>
  <c r="D35" i="1"/>
  <c r="I34" i="1"/>
  <c r="H34" i="1"/>
  <c r="G34" i="1"/>
  <c r="F34" i="1"/>
  <c r="D34" i="1"/>
  <c r="I33" i="1"/>
  <c r="H33" i="1"/>
  <c r="G33" i="1"/>
  <c r="F33" i="1"/>
  <c r="D33" i="1"/>
  <c r="I32" i="1"/>
  <c r="H32" i="1"/>
  <c r="G32" i="1"/>
  <c r="F32" i="1"/>
  <c r="D32" i="1"/>
  <c r="I31" i="1"/>
  <c r="H31" i="1"/>
  <c r="G31" i="1"/>
  <c r="F31" i="1"/>
  <c r="D31" i="1"/>
  <c r="A31" i="1"/>
  <c r="I30" i="1"/>
  <c r="H30" i="1"/>
  <c r="G30" i="1"/>
  <c r="F30" i="1"/>
  <c r="D30" i="1"/>
  <c r="I29" i="1"/>
  <c r="H29" i="1"/>
  <c r="G29" i="1"/>
  <c r="F29" i="1"/>
  <c r="D29" i="1"/>
  <c r="A29" i="1"/>
  <c r="I28" i="1"/>
  <c r="H28" i="1"/>
  <c r="G28" i="1"/>
  <c r="F28" i="1"/>
  <c r="D28" i="1"/>
  <c r="I27" i="1"/>
  <c r="H27" i="1"/>
  <c r="G27" i="1"/>
  <c r="F27" i="1"/>
  <c r="D27" i="1"/>
  <c r="A27" i="1"/>
  <c r="I26" i="1"/>
  <c r="H26" i="1"/>
  <c r="G26" i="1"/>
  <c r="F26" i="1"/>
  <c r="D26" i="1"/>
  <c r="I25" i="1"/>
  <c r="H25" i="1"/>
  <c r="G25" i="1"/>
  <c r="F25" i="1"/>
  <c r="D25" i="1"/>
  <c r="A25" i="1"/>
  <c r="I24" i="1"/>
  <c r="H24" i="1"/>
  <c r="G24" i="1"/>
  <c r="F24" i="1"/>
  <c r="D24" i="1"/>
  <c r="I23" i="1"/>
  <c r="H23" i="1"/>
  <c r="G23" i="1"/>
  <c r="F23" i="1"/>
  <c r="D23" i="1"/>
  <c r="A23" i="1"/>
  <c r="I22" i="1"/>
  <c r="H22" i="1"/>
  <c r="G22" i="1"/>
  <c r="F22" i="1"/>
  <c r="D22" i="1"/>
  <c r="I21" i="1"/>
  <c r="H21" i="1"/>
  <c r="G21" i="1"/>
  <c r="F21" i="1"/>
  <c r="D21" i="1"/>
  <c r="I20" i="1"/>
  <c r="H20" i="1"/>
  <c r="G20" i="1"/>
  <c r="F20" i="1"/>
  <c r="D20" i="1"/>
  <c r="I19" i="1"/>
  <c r="H19" i="1"/>
  <c r="G19" i="1"/>
  <c r="F19" i="1"/>
  <c r="D19" i="1"/>
  <c r="I18" i="1"/>
  <c r="H18" i="1"/>
  <c r="G18" i="1"/>
  <c r="F18" i="1"/>
  <c r="D18" i="1"/>
  <c r="I17" i="1"/>
  <c r="H17" i="1"/>
  <c r="G17" i="1"/>
  <c r="F17" i="1"/>
  <c r="D17" i="1"/>
  <c r="A17" i="1"/>
  <c r="I16" i="1"/>
  <c r="H16" i="1"/>
  <c r="G16" i="1"/>
  <c r="F16" i="1"/>
  <c r="D16" i="1"/>
  <c r="I15" i="1"/>
  <c r="H15" i="1"/>
  <c r="G15" i="1"/>
  <c r="F15" i="1"/>
  <c r="D15" i="1"/>
  <c r="I14" i="1"/>
  <c r="H14" i="1"/>
  <c r="G14" i="1"/>
  <c r="F14" i="1"/>
  <c r="D14" i="1"/>
  <c r="I13" i="1"/>
  <c r="H13" i="1"/>
  <c r="G13" i="1"/>
  <c r="F13" i="1"/>
  <c r="D13" i="1"/>
  <c r="I12" i="1"/>
  <c r="H12" i="1"/>
  <c r="G12" i="1"/>
  <c r="F12" i="1"/>
  <c r="D12" i="1"/>
  <c r="I11" i="1"/>
  <c r="H11" i="1"/>
  <c r="G11" i="1"/>
  <c r="F11" i="1"/>
  <c r="D11" i="1"/>
  <c r="I10" i="1"/>
  <c r="H10" i="1"/>
  <c r="G10" i="1"/>
  <c r="F10" i="1"/>
  <c r="D10" i="1"/>
  <c r="I9" i="1"/>
  <c r="H9" i="1"/>
  <c r="G9" i="1"/>
  <c r="F9" i="1"/>
  <c r="D9" i="1"/>
  <c r="I8" i="1"/>
  <c r="H8" i="1"/>
  <c r="G8" i="1"/>
  <c r="F8" i="1"/>
  <c r="D8" i="1"/>
  <c r="I7" i="1"/>
  <c r="H7" i="1"/>
  <c r="G7" i="1"/>
  <c r="F7" i="1"/>
  <c r="D7" i="1"/>
  <c r="A7" i="1"/>
  <c r="I6" i="1"/>
  <c r="H6" i="1"/>
  <c r="G6" i="1"/>
  <c r="F6" i="1"/>
  <c r="D6" i="1"/>
  <c r="I5" i="1"/>
  <c r="H5" i="1"/>
  <c r="G5" i="1"/>
  <c r="F5" i="1"/>
  <c r="D5" i="1"/>
  <c r="A5" i="1"/>
  <c r="I4" i="1"/>
  <c r="H4" i="1"/>
  <c r="G4" i="1"/>
  <c r="F4" i="1"/>
  <c r="D4" i="1"/>
  <c r="I3" i="1"/>
  <c r="H3" i="1"/>
  <c r="G3" i="1"/>
  <c r="F3" i="1"/>
  <c r="D3" i="1"/>
  <c r="A3" i="1"/>
  <c r="I2" i="1"/>
  <c r="H2" i="1"/>
  <c r="G2" i="1"/>
  <c r="F2" i="1"/>
  <c r="D2" i="1"/>
  <c r="A2" i="1"/>
  <c r="A635" i="1" s="1"/>
  <c r="A21" i="1" l="1"/>
  <c r="A45" i="1"/>
  <c r="A69" i="1"/>
  <c r="A93" i="1"/>
  <c r="A117" i="1"/>
  <c r="A141" i="1"/>
  <c r="A165" i="1"/>
  <c r="A189" i="1"/>
  <c r="A213" i="1"/>
  <c r="A237" i="1"/>
  <c r="A261" i="1"/>
  <c r="A285" i="1"/>
  <c r="A309" i="1"/>
  <c r="A333" i="1"/>
  <c r="A357" i="1"/>
  <c r="A385" i="1"/>
  <c r="A541" i="1"/>
  <c r="A19" i="1"/>
  <c r="A43" i="1"/>
  <c r="A67" i="1"/>
  <c r="A91" i="1"/>
  <c r="A115" i="1"/>
  <c r="A139" i="1"/>
  <c r="A163" i="1"/>
  <c r="A187" i="1"/>
  <c r="A211" i="1"/>
  <c r="A235" i="1"/>
  <c r="A259" i="1"/>
  <c r="A283" i="1"/>
  <c r="A307" i="1"/>
  <c r="A331" i="1"/>
  <c r="A355" i="1"/>
  <c r="A411" i="1"/>
  <c r="A15" i="1"/>
  <c r="A39" i="1"/>
  <c r="A63" i="1"/>
  <c r="A87" i="1"/>
  <c r="A111" i="1"/>
  <c r="A135" i="1"/>
  <c r="A159" i="1"/>
  <c r="A183" i="1"/>
  <c r="A207" i="1"/>
  <c r="A231" i="1"/>
  <c r="A255" i="1"/>
  <c r="A279" i="1"/>
  <c r="A303" i="1"/>
  <c r="A327" i="1"/>
  <c r="A351" i="1"/>
  <c r="A435" i="1"/>
  <c r="A601" i="1"/>
  <c r="A13" i="1"/>
  <c r="A37" i="1"/>
  <c r="A61" i="1"/>
  <c r="A85" i="1"/>
  <c r="A109" i="1"/>
  <c r="A133" i="1"/>
  <c r="A157" i="1"/>
  <c r="A181" i="1"/>
  <c r="A205" i="1"/>
  <c r="A229" i="1"/>
  <c r="A253" i="1"/>
  <c r="A277" i="1"/>
  <c r="A301" i="1"/>
  <c r="A325" i="1"/>
  <c r="A349" i="1"/>
  <c r="A433" i="1"/>
  <c r="A587" i="1"/>
  <c r="A11" i="1"/>
  <c r="A35" i="1"/>
  <c r="A59" i="1"/>
  <c r="A83" i="1"/>
  <c r="A107" i="1"/>
  <c r="A131" i="1"/>
  <c r="A155" i="1"/>
  <c r="A179" i="1"/>
  <c r="A203" i="1"/>
  <c r="A227" i="1"/>
  <c r="A251" i="1"/>
  <c r="A275" i="1"/>
  <c r="A299" i="1"/>
  <c r="A323" i="1"/>
  <c r="A347" i="1"/>
  <c r="A459" i="1"/>
  <c r="A9" i="1"/>
  <c r="A33" i="1"/>
  <c r="A57" i="1"/>
  <c r="A81" i="1"/>
  <c r="A105" i="1"/>
  <c r="A129" i="1"/>
  <c r="A153" i="1"/>
  <c r="A177" i="1"/>
  <c r="A201" i="1"/>
  <c r="A225" i="1"/>
  <c r="A249" i="1"/>
  <c r="A273" i="1"/>
  <c r="A297" i="1"/>
  <c r="A321" i="1"/>
  <c r="A345" i="1"/>
  <c r="A457" i="1"/>
  <c r="A377" i="1"/>
  <c r="A401" i="1"/>
  <c r="A425" i="1"/>
  <c r="A449" i="1"/>
  <c r="A473" i="1"/>
  <c r="A497" i="1"/>
  <c r="A521" i="1"/>
  <c r="A553" i="1"/>
  <c r="A625" i="1"/>
  <c r="A686" i="1"/>
  <c r="A310" i="1"/>
  <c r="A312" i="1"/>
  <c r="A314" i="1"/>
  <c r="A316" i="1"/>
  <c r="A318" i="1"/>
  <c r="A320" i="1"/>
  <c r="A322" i="1"/>
  <c r="A324" i="1"/>
  <c r="A326" i="1"/>
  <c r="A328" i="1"/>
  <c r="A330" i="1"/>
  <c r="A332" i="1"/>
  <c r="A334" i="1"/>
  <c r="A336" i="1"/>
  <c r="A338" i="1"/>
  <c r="A340" i="1"/>
  <c r="A342" i="1"/>
  <c r="A344" i="1"/>
  <c r="A346" i="1"/>
  <c r="A348" i="1"/>
  <c r="A350" i="1"/>
  <c r="A352" i="1"/>
  <c r="A354" i="1"/>
  <c r="A356" i="1"/>
  <c r="A358" i="1"/>
  <c r="A360" i="1"/>
  <c r="A362" i="1"/>
  <c r="A375" i="1"/>
  <c r="A399" i="1"/>
  <c r="A423" i="1"/>
  <c r="A447" i="1"/>
  <c r="A471" i="1"/>
  <c r="A495" i="1"/>
  <c r="A519" i="1"/>
  <c r="A567" i="1"/>
  <c r="A639" i="1"/>
  <c r="A710" i="1"/>
  <c r="A4" i="1"/>
  <c r="A12" i="1"/>
  <c r="A20" i="1"/>
  <c r="A30" i="1"/>
  <c r="A40" i="1"/>
  <c r="A48" i="1"/>
  <c r="A56" i="1"/>
  <c r="A62" i="1"/>
  <c r="A70" i="1"/>
  <c r="A76" i="1"/>
  <c r="A84" i="1"/>
  <c r="A88" i="1"/>
  <c r="A94" i="1"/>
  <c r="A100" i="1"/>
  <c r="A106" i="1"/>
  <c r="A114" i="1"/>
  <c r="A124" i="1"/>
  <c r="A138" i="1"/>
  <c r="A180" i="1"/>
  <c r="A373" i="1"/>
  <c r="A397" i="1"/>
  <c r="A421" i="1"/>
  <c r="A445" i="1"/>
  <c r="A469" i="1"/>
  <c r="A493" i="1"/>
  <c r="A517" i="1"/>
  <c r="A565" i="1"/>
  <c r="A637" i="1"/>
  <c r="A10" i="1"/>
  <c r="A18" i="1"/>
  <c r="A26" i="1"/>
  <c r="A36" i="1"/>
  <c r="A44" i="1"/>
  <c r="A54" i="1"/>
  <c r="A68" i="1"/>
  <c r="A110" i="1"/>
  <c r="A371" i="1"/>
  <c r="A395" i="1"/>
  <c r="A419" i="1"/>
  <c r="A443" i="1"/>
  <c r="A467" i="1"/>
  <c r="A491" i="1"/>
  <c r="A515" i="1"/>
  <c r="A549" i="1"/>
  <c r="A563" i="1"/>
  <c r="A843" i="1"/>
  <c r="A841" i="1"/>
  <c r="A839" i="1"/>
  <c r="A837" i="1"/>
  <c r="A835" i="1"/>
  <c r="A833" i="1"/>
  <c r="A831" i="1"/>
  <c r="A829" i="1"/>
  <c r="A827" i="1"/>
  <c r="A825" i="1"/>
  <c r="A823" i="1"/>
  <c r="A821" i="1"/>
  <c r="A819" i="1"/>
  <c r="A817" i="1"/>
  <c r="A815" i="1"/>
  <c r="A813" i="1"/>
  <c r="A811" i="1"/>
  <c r="A809" i="1"/>
  <c r="A807" i="1"/>
  <c r="A805" i="1"/>
  <c r="A803" i="1"/>
  <c r="A801" i="1"/>
  <c r="A799" i="1"/>
  <c r="A797" i="1"/>
  <c r="A795" i="1"/>
  <c r="A793" i="1"/>
  <c r="A791" i="1"/>
  <c r="A789" i="1"/>
  <c r="A787" i="1"/>
  <c r="A785" i="1"/>
  <c r="A783" i="1"/>
  <c r="A781" i="1"/>
  <c r="A779" i="1"/>
  <c r="A777" i="1"/>
  <c r="A775" i="1"/>
  <c r="A773" i="1"/>
  <c r="A771" i="1"/>
  <c r="A769" i="1"/>
  <c r="A767" i="1"/>
  <c r="A765" i="1"/>
  <c r="A763" i="1"/>
  <c r="A761" i="1"/>
  <c r="A759" i="1"/>
  <c r="A757" i="1"/>
  <c r="A755" i="1"/>
  <c r="A753" i="1"/>
  <c r="A751" i="1"/>
  <c r="A749" i="1"/>
  <c r="A747" i="1"/>
  <c r="A745" i="1"/>
  <c r="A743" i="1"/>
  <c r="A741" i="1"/>
  <c r="A739" i="1"/>
  <c r="A737" i="1"/>
  <c r="A735" i="1"/>
  <c r="A733" i="1"/>
  <c r="A731" i="1"/>
  <c r="A729" i="1"/>
  <c r="A727" i="1"/>
  <c r="A725" i="1"/>
  <c r="A723" i="1"/>
  <c r="A721" i="1"/>
  <c r="A719" i="1"/>
  <c r="A717" i="1"/>
  <c r="A715" i="1"/>
  <c r="A713" i="1"/>
  <c r="A711" i="1"/>
  <c r="A709" i="1"/>
  <c r="A707" i="1"/>
  <c r="A705" i="1"/>
  <c r="A703" i="1"/>
  <c r="A701" i="1"/>
  <c r="A699" i="1"/>
  <c r="A697" i="1"/>
  <c r="A695" i="1"/>
  <c r="A693" i="1"/>
  <c r="A691" i="1"/>
  <c r="A689" i="1"/>
  <c r="A687" i="1"/>
  <c r="A685" i="1"/>
  <c r="A683" i="1"/>
  <c r="A681" i="1"/>
  <c r="A679" i="1"/>
  <c r="A677" i="1"/>
  <c r="A675" i="1"/>
  <c r="A822" i="1"/>
  <c r="A798" i="1"/>
  <c r="A774" i="1"/>
  <c r="A750" i="1"/>
  <c r="A726" i="1"/>
  <c r="A702" i="1"/>
  <c r="A678" i="1"/>
  <c r="A824" i="1"/>
  <c r="A800" i="1"/>
  <c r="A776" i="1"/>
  <c r="A752" i="1"/>
  <c r="A728" i="1"/>
  <c r="A704" i="1"/>
  <c r="A680" i="1"/>
  <c r="A826" i="1"/>
  <c r="A802" i="1"/>
  <c r="A778" i="1"/>
  <c r="A754" i="1"/>
  <c r="A730" i="1"/>
  <c r="A706" i="1"/>
  <c r="A682" i="1"/>
  <c r="A828" i="1"/>
  <c r="A804" i="1"/>
  <c r="A780" i="1"/>
  <c r="A756" i="1"/>
  <c r="A732" i="1"/>
  <c r="A708" i="1"/>
  <c r="A684" i="1"/>
  <c r="A832" i="1"/>
  <c r="A808" i="1"/>
  <c r="A784" i="1"/>
  <c r="A760" i="1"/>
  <c r="A736" i="1"/>
  <c r="A712" i="1"/>
  <c r="A688" i="1"/>
  <c r="A836" i="1"/>
  <c r="A764" i="1"/>
  <c r="A740" i="1"/>
  <c r="A692" i="1"/>
  <c r="A766" i="1"/>
  <c r="A694" i="1"/>
  <c r="A840" i="1"/>
  <c r="A816" i="1"/>
  <c r="A744" i="1"/>
  <c r="A720" i="1"/>
  <c r="A834" i="1"/>
  <c r="A810" i="1"/>
  <c r="A786" i="1"/>
  <c r="A762" i="1"/>
  <c r="A738" i="1"/>
  <c r="A714" i="1"/>
  <c r="A690" i="1"/>
  <c r="A812" i="1"/>
  <c r="A788" i="1"/>
  <c r="A716" i="1"/>
  <c r="A838" i="1"/>
  <c r="A814" i="1"/>
  <c r="A790" i="1"/>
  <c r="A742" i="1"/>
  <c r="A718" i="1"/>
  <c r="A792" i="1"/>
  <c r="A768" i="1"/>
  <c r="A696" i="1"/>
  <c r="A842" i="1"/>
  <c r="A818" i="1"/>
  <c r="A794" i="1"/>
  <c r="A770" i="1"/>
  <c r="A746" i="1"/>
  <c r="A722" i="1"/>
  <c r="A698" i="1"/>
  <c r="A674" i="1"/>
  <c r="A672" i="1"/>
  <c r="A670" i="1"/>
  <c r="A668" i="1"/>
  <c r="A666" i="1"/>
  <c r="A664" i="1"/>
  <c r="A662" i="1"/>
  <c r="A660" i="1"/>
  <c r="A658" i="1"/>
  <c r="A656" i="1"/>
  <c r="A654" i="1"/>
  <c r="A652" i="1"/>
  <c r="A650" i="1"/>
  <c r="A648" i="1"/>
  <c r="A646" i="1"/>
  <c r="A644" i="1"/>
  <c r="A642" i="1"/>
  <c r="A640" i="1"/>
  <c r="A638" i="1"/>
  <c r="A636" i="1"/>
  <c r="A634" i="1"/>
  <c r="A632" i="1"/>
  <c r="A630" i="1"/>
  <c r="A628" i="1"/>
  <c r="A626" i="1"/>
  <c r="A624" i="1"/>
  <c r="A622" i="1"/>
  <c r="A620" i="1"/>
  <c r="A618" i="1"/>
  <c r="A616" i="1"/>
  <c r="A614" i="1"/>
  <c r="A612" i="1"/>
  <c r="A610" i="1"/>
  <c r="A608" i="1"/>
  <c r="A606" i="1"/>
  <c r="A604" i="1"/>
  <c r="A602" i="1"/>
  <c r="A600" i="1"/>
  <c r="A598" i="1"/>
  <c r="A596" i="1"/>
  <c r="A594" i="1"/>
  <c r="A592" i="1"/>
  <c r="A590" i="1"/>
  <c r="A588" i="1"/>
  <c r="A586" i="1"/>
  <c r="A584" i="1"/>
  <c r="A582" i="1"/>
  <c r="A580" i="1"/>
  <c r="A578" i="1"/>
  <c r="A576" i="1"/>
  <c r="A574" i="1"/>
  <c r="A572" i="1"/>
  <c r="A570" i="1"/>
  <c r="A568" i="1"/>
  <c r="A566" i="1"/>
  <c r="A564" i="1"/>
  <c r="A562" i="1"/>
  <c r="A560" i="1"/>
  <c r="A558" i="1"/>
  <c r="A556" i="1"/>
  <c r="A554" i="1"/>
  <c r="A552" i="1"/>
  <c r="A550" i="1"/>
  <c r="A548" i="1"/>
  <c r="A546" i="1"/>
  <c r="A544" i="1"/>
  <c r="A542" i="1"/>
  <c r="A540" i="1"/>
  <c r="A538" i="1"/>
  <c r="A536" i="1"/>
  <c r="A534" i="1"/>
  <c r="A532" i="1"/>
  <c r="A530" i="1"/>
  <c r="A528" i="1"/>
  <c r="A526" i="1"/>
  <c r="A524" i="1"/>
  <c r="A522" i="1"/>
  <c r="A520" i="1"/>
  <c r="A820" i="1"/>
  <c r="A796" i="1"/>
  <c r="A772" i="1"/>
  <c r="A748" i="1"/>
  <c r="A724" i="1"/>
  <c r="A700" i="1"/>
  <c r="A676" i="1"/>
  <c r="A782" i="1"/>
  <c r="A653" i="1"/>
  <c r="A629" i="1"/>
  <c r="A605" i="1"/>
  <c r="A581" i="1"/>
  <c r="A557" i="1"/>
  <c r="A533" i="1"/>
  <c r="A758" i="1"/>
  <c r="A655" i="1"/>
  <c r="A631" i="1"/>
  <c r="A607" i="1"/>
  <c r="A583" i="1"/>
  <c r="A559" i="1"/>
  <c r="A535" i="1"/>
  <c r="A734" i="1"/>
  <c r="A657" i="1"/>
  <c r="A633" i="1"/>
  <c r="A609" i="1"/>
  <c r="A585" i="1"/>
  <c r="A561" i="1"/>
  <c r="A537" i="1"/>
  <c r="A665" i="1"/>
  <c r="A641" i="1"/>
  <c r="A617" i="1"/>
  <c r="A593" i="1"/>
  <c r="A569" i="1"/>
  <c r="A667" i="1"/>
  <c r="A643" i="1"/>
  <c r="A619" i="1"/>
  <c r="A595" i="1"/>
  <c r="A571" i="1"/>
  <c r="A547" i="1"/>
  <c r="A523" i="1"/>
  <c r="A669" i="1"/>
  <c r="A645" i="1"/>
  <c r="A621" i="1"/>
  <c r="A597" i="1"/>
  <c r="A573" i="1"/>
  <c r="A671" i="1"/>
  <c r="A647" i="1"/>
  <c r="A623" i="1"/>
  <c r="A599" i="1"/>
  <c r="A575" i="1"/>
  <c r="A551" i="1"/>
  <c r="A527" i="1"/>
  <c r="A830" i="1"/>
  <c r="A673" i="1"/>
  <c r="A649" i="1"/>
  <c r="A806" i="1"/>
  <c r="A651" i="1"/>
  <c r="A627" i="1"/>
  <c r="A603" i="1"/>
  <c r="A579" i="1"/>
  <c r="A555" i="1"/>
  <c r="A531" i="1"/>
  <c r="A518" i="1"/>
  <c r="A516" i="1"/>
  <c r="A514" i="1"/>
  <c r="A512" i="1"/>
  <c r="A510" i="1"/>
  <c r="A508" i="1"/>
  <c r="A506" i="1"/>
  <c r="A504" i="1"/>
  <c r="A502" i="1"/>
  <c r="A500" i="1"/>
  <c r="A498" i="1"/>
  <c r="A496" i="1"/>
  <c r="A494" i="1"/>
  <c r="A492" i="1"/>
  <c r="A490" i="1"/>
  <c r="A488" i="1"/>
  <c r="A486" i="1"/>
  <c r="A484" i="1"/>
  <c r="A482" i="1"/>
  <c r="A480" i="1"/>
  <c r="A478" i="1"/>
  <c r="A476" i="1"/>
  <c r="A474" i="1"/>
  <c r="A472" i="1"/>
  <c r="A470" i="1"/>
  <c r="A468" i="1"/>
  <c r="A466" i="1"/>
  <c r="A464" i="1"/>
  <c r="A462" i="1"/>
  <c r="A460" i="1"/>
  <c r="A458" i="1"/>
  <c r="A456" i="1"/>
  <c r="A454" i="1"/>
  <c r="A452" i="1"/>
  <c r="A450" i="1"/>
  <c r="A448" i="1"/>
  <c r="A446" i="1"/>
  <c r="A444" i="1"/>
  <c r="A442" i="1"/>
  <c r="A440" i="1"/>
  <c r="A438" i="1"/>
  <c r="A436" i="1"/>
  <c r="A434" i="1"/>
  <c r="A432" i="1"/>
  <c r="A430" i="1"/>
  <c r="A428" i="1"/>
  <c r="A426" i="1"/>
  <c r="A424" i="1"/>
  <c r="A422" i="1"/>
  <c r="A420" i="1"/>
  <c r="A418" i="1"/>
  <c r="A416" i="1"/>
  <c r="A414" i="1"/>
  <c r="A412" i="1"/>
  <c r="A410" i="1"/>
  <c r="A408" i="1"/>
  <c r="A406" i="1"/>
  <c r="A404" i="1"/>
  <c r="A402" i="1"/>
  <c r="A400" i="1"/>
  <c r="A398" i="1"/>
  <c r="A396" i="1"/>
  <c r="A394" i="1"/>
  <c r="A392" i="1"/>
  <c r="A390" i="1"/>
  <c r="A388" i="1"/>
  <c r="A386" i="1"/>
  <c r="A384" i="1"/>
  <c r="A382" i="1"/>
  <c r="A380" i="1"/>
  <c r="A378" i="1"/>
  <c r="A376" i="1"/>
  <c r="A374" i="1"/>
  <c r="A372" i="1"/>
  <c r="A370" i="1"/>
  <c r="A368" i="1"/>
  <c r="A366" i="1"/>
  <c r="A364" i="1"/>
  <c r="A8" i="1"/>
  <c r="A16" i="1"/>
  <c r="A22" i="1"/>
  <c r="A28" i="1"/>
  <c r="A34" i="1"/>
  <c r="A42" i="1"/>
  <c r="A52" i="1"/>
  <c r="A60" i="1"/>
  <c r="A66" i="1"/>
  <c r="A74" i="1"/>
  <c r="A78" i="1"/>
  <c r="A82" i="1"/>
  <c r="A86" i="1"/>
  <c r="A92" i="1"/>
  <c r="A98" i="1"/>
  <c r="A104" i="1"/>
  <c r="A112" i="1"/>
  <c r="A118" i="1"/>
  <c r="A122" i="1"/>
  <c r="A128" i="1"/>
  <c r="A132" i="1"/>
  <c r="A136" i="1"/>
  <c r="A142" i="1"/>
  <c r="A146" i="1"/>
  <c r="A150" i="1"/>
  <c r="A154" i="1"/>
  <c r="A158" i="1"/>
  <c r="A162" i="1"/>
  <c r="A166" i="1"/>
  <c r="A170" i="1"/>
  <c r="A174" i="1"/>
  <c r="A178" i="1"/>
  <c r="A184" i="1"/>
  <c r="A186" i="1"/>
  <c r="A190" i="1"/>
  <c r="A194" i="1"/>
  <c r="A198" i="1"/>
  <c r="A202" i="1"/>
  <c r="A206" i="1"/>
  <c r="A210" i="1"/>
  <c r="A214" i="1"/>
  <c r="A218" i="1"/>
  <c r="A224" i="1"/>
  <c r="A228" i="1"/>
  <c r="A232" i="1"/>
  <c r="A236" i="1"/>
  <c r="A238" i="1"/>
  <c r="A242" i="1"/>
  <c r="A246" i="1"/>
  <c r="A250" i="1"/>
  <c r="A254" i="1"/>
  <c r="A258" i="1"/>
  <c r="A262" i="1"/>
  <c r="A266" i="1"/>
  <c r="A268" i="1"/>
  <c r="A272" i="1"/>
  <c r="A278" i="1"/>
  <c r="A282" i="1"/>
  <c r="A286" i="1"/>
  <c r="A292" i="1"/>
  <c r="A369" i="1"/>
  <c r="A393" i="1"/>
  <c r="A417" i="1"/>
  <c r="A441" i="1"/>
  <c r="A465" i="1"/>
  <c r="A489" i="1"/>
  <c r="A513" i="1"/>
  <c r="A577" i="1"/>
  <c r="A663" i="1"/>
  <c r="A6" i="1"/>
  <c r="A14" i="1"/>
  <c r="A24" i="1"/>
  <c r="A32" i="1"/>
  <c r="A38" i="1"/>
  <c r="A46" i="1"/>
  <c r="A50" i="1"/>
  <c r="A58" i="1"/>
  <c r="A64" i="1"/>
  <c r="A72" i="1"/>
  <c r="A80" i="1"/>
  <c r="A90" i="1"/>
  <c r="A96" i="1"/>
  <c r="A102" i="1"/>
  <c r="A108" i="1"/>
  <c r="A116" i="1"/>
  <c r="A120" i="1"/>
  <c r="A126" i="1"/>
  <c r="A130" i="1"/>
  <c r="A134" i="1"/>
  <c r="A140" i="1"/>
  <c r="A144" i="1"/>
  <c r="A148" i="1"/>
  <c r="A152" i="1"/>
  <c r="A156" i="1"/>
  <c r="A160" i="1"/>
  <c r="A164" i="1"/>
  <c r="A168" i="1"/>
  <c r="A172" i="1"/>
  <c r="A176" i="1"/>
  <c r="A182" i="1"/>
  <c r="A188" i="1"/>
  <c r="A192" i="1"/>
  <c r="A196" i="1"/>
  <c r="A200" i="1"/>
  <c r="A204" i="1"/>
  <c r="A208" i="1"/>
  <c r="A212" i="1"/>
  <c r="A216" i="1"/>
  <c r="A220" i="1"/>
  <c r="A222" i="1"/>
  <c r="A226" i="1"/>
  <c r="A230" i="1"/>
  <c r="A234" i="1"/>
  <c r="A240" i="1"/>
  <c r="A244" i="1"/>
  <c r="A248" i="1"/>
  <c r="A252" i="1"/>
  <c r="A256" i="1"/>
  <c r="A260" i="1"/>
  <c r="A264" i="1"/>
  <c r="A270" i="1"/>
  <c r="A274" i="1"/>
  <c r="A276" i="1"/>
  <c r="A280" i="1"/>
  <c r="A284" i="1"/>
  <c r="A288" i="1"/>
  <c r="A290" i="1"/>
  <c r="A294" i="1"/>
  <c r="A296" i="1"/>
  <c r="A298" i="1"/>
  <c r="A300" i="1"/>
  <c r="A302" i="1"/>
  <c r="A304" i="1"/>
  <c r="A306" i="1"/>
  <c r="A367" i="1"/>
  <c r="A391" i="1"/>
  <c r="A415" i="1"/>
  <c r="A439" i="1"/>
  <c r="A463" i="1"/>
  <c r="A487" i="1"/>
  <c r="A511" i="1"/>
  <c r="A591" i="1"/>
  <c r="A661" i="1"/>
  <c r="A365" i="1"/>
  <c r="A389" i="1"/>
  <c r="A413" i="1"/>
  <c r="A437" i="1"/>
  <c r="A461" i="1"/>
  <c r="A485" i="1"/>
  <c r="A509" i="1"/>
  <c r="A529" i="1"/>
  <c r="A545" i="1"/>
  <c r="A589" i="1"/>
  <c r="A659" i="1"/>
  <c r="A383" i="1"/>
  <c r="A407" i="1"/>
  <c r="A431" i="1"/>
  <c r="A455" i="1"/>
  <c r="A479" i="1"/>
  <c r="A503" i="1"/>
  <c r="A525" i="1"/>
  <c r="A539" i="1"/>
  <c r="A615" i="1"/>
  <c r="A381" i="1"/>
  <c r="A405" i="1"/>
  <c r="A429" i="1"/>
  <c r="A453" i="1"/>
  <c r="A477" i="1"/>
  <c r="A501" i="1"/>
  <c r="A613" i="1"/>
  <c r="A379" i="1"/>
  <c r="A403" i="1"/>
  <c r="A427" i="1"/>
  <c r="A451" i="1"/>
  <c r="A475" i="1"/>
  <c r="A499" i="1"/>
  <c r="A611" i="1"/>
</calcChain>
</file>

<file path=xl/sharedStrings.xml><?xml version="1.0" encoding="utf-8"?>
<sst xmlns="http://schemas.openxmlformats.org/spreadsheetml/2006/main" count="7207" uniqueCount="190">
  <si>
    <t>Ebin</t>
  </si>
  <si>
    <t>100T TELESCOPIC CRANE (RENTAL)-ZL</t>
  </si>
  <si>
    <t>Yard 3</t>
  </si>
  <si>
    <t>Dismantling</t>
  </si>
  <si>
    <t>DBD Bld</t>
  </si>
  <si>
    <t>Day</t>
  </si>
  <si>
    <t>Steel Structure Works</t>
  </si>
  <si>
    <t>_</t>
  </si>
  <si>
    <t>150T CRAWLER CRANE (RENTAL)-Sany</t>
  </si>
  <si>
    <t>Yard 2</t>
  </si>
  <si>
    <t>CT-1010-02</t>
  </si>
  <si>
    <t>Material Handling</t>
  </si>
  <si>
    <t>Strucutre Pre-Assembly</t>
  </si>
  <si>
    <t>Material unloading by crane</t>
  </si>
  <si>
    <t>150T crawler crane handed over to Bashaer Projects for their own work for the day</t>
  </si>
  <si>
    <t>22M LCMG MANLIFT</t>
  </si>
  <si>
    <t>Structural material segregation, offloading of materials from yard-3 to yard-2, pre-assembly&amp;erection on temporary support installation</t>
  </si>
  <si>
    <t>28M LCMG MANLIFT</t>
  </si>
  <si>
    <t>Idle</t>
  </si>
  <si>
    <t>No usage</t>
  </si>
  <si>
    <t>22KVA GENERATOR</t>
  </si>
  <si>
    <t>Tamil</t>
  </si>
  <si>
    <t>22M HAULOTTE MANLIFT-1</t>
  </si>
  <si>
    <t>Parking Area</t>
  </si>
  <si>
    <t>Tower-5&amp;3</t>
  </si>
  <si>
    <t>TR-1010-26</t>
  </si>
  <si>
    <t>Torque tightening</t>
  </si>
  <si>
    <t>Pre-assembly of Tower- 03</t>
  </si>
  <si>
    <t>22M HAULOTTE MANLIFT-2</t>
  </si>
  <si>
    <t>Ground pre-assembly</t>
  </si>
  <si>
    <t>Bolt Torquing  of Tower- 05</t>
  </si>
  <si>
    <t>70T TELESCOPIC CRANE-01 (RENTAL)-Liebherr</t>
  </si>
  <si>
    <t>55 SEAT BUS</t>
  </si>
  <si>
    <t>Enco Interenal Transportation</t>
  </si>
  <si>
    <t>TOWER LIGHT -4</t>
  </si>
  <si>
    <t>Enco Internal Utilities</t>
  </si>
  <si>
    <t>Shijo</t>
  </si>
  <si>
    <t>13 SEAT BUS 4546MH</t>
  </si>
  <si>
    <t>Laydown</t>
  </si>
  <si>
    <t>Offloading</t>
  </si>
  <si>
    <t>15 SEAT BUS 9405YR</t>
  </si>
  <si>
    <t>130T CRAWLER CRANE (RENTAL)-Liebherr</t>
  </si>
  <si>
    <t>130T crawler crane dis-mantling started</t>
  </si>
  <si>
    <t>70T TELESCOPIC CRANE-02 (RENTAL)-Liebherr</t>
  </si>
  <si>
    <t>Loading of CT1010-02 materials and 150T crawler crane dis-mantling works</t>
  </si>
  <si>
    <t>14T FORKLIFT 2088LD</t>
  </si>
  <si>
    <t>150T CRAWLER CRANE (RENTAL)-Hitachi</t>
  </si>
  <si>
    <t>150T crawler crane dis-mantling completed</t>
  </si>
  <si>
    <t>22 SEAT BUS 2498YD</t>
  </si>
  <si>
    <t>22 SEAT BUS 8028WA</t>
  </si>
  <si>
    <t>300/330KVA CUMMINS GENERATOR</t>
  </si>
  <si>
    <t>35/40KVA CUMMINS GENERATOR</t>
  </si>
  <si>
    <t>7T HI-UP 1077DS</t>
  </si>
  <si>
    <t>PICK-UP 15BM (RENTAL)</t>
  </si>
  <si>
    <t>PICK-UP 2819DA (RENTAL)</t>
  </si>
  <si>
    <t>PICK-UP 4265BM (RENTAL)</t>
  </si>
  <si>
    <t>PICK-UP 569WA (RENTAL)</t>
  </si>
  <si>
    <t>Renault FLATBED TRAILER 3576MD (RENTAL)</t>
  </si>
  <si>
    <t>TOWER LIGHT-1</t>
  </si>
  <si>
    <t>TOWER LIGHT-2</t>
  </si>
  <si>
    <t>Work suspended due to site blockage as per Vale e-mail dated 01 March- "Notification to Contractors for 24th Site Blockage", due to escalating geopolitical tensions in the region.</t>
  </si>
  <si>
    <t>100T TELESCOPIC CRANE (RENTAL)-Sany</t>
  </si>
  <si>
    <t>Tower-6</t>
  </si>
  <si>
    <t>Site Office</t>
  </si>
  <si>
    <t>Chassis Assembly</t>
  </si>
  <si>
    <t>Pre-assembly of Tower- 03, Bolt torquing of tower 3</t>
  </si>
  <si>
    <t>130T crawler crane dis-mantling completed</t>
  </si>
  <si>
    <t>Crane operator Absent</t>
  </si>
  <si>
    <t>150T crawler crane is dis-manted</t>
  </si>
  <si>
    <t>Tower-3</t>
  </si>
  <si>
    <t>Bolting of Tower- 03</t>
  </si>
  <si>
    <t>Tower-5</t>
  </si>
  <si>
    <t>Tower-4</t>
  </si>
  <si>
    <t>Material offloading&amp;segregation of tower-4</t>
  </si>
  <si>
    <t>Tower-5,3&amp;4</t>
  </si>
  <si>
    <t>130T crawler crane is dis-manted</t>
  </si>
  <si>
    <t>CT1010-02 temporary chassis modification, CT1010-02 material offloading&amp; shifting to yard-2, Offloading operations involving six trailers transporting a 70-ton crawler crane</t>
  </si>
  <si>
    <t>Bolt Torquing of Tower- 03</t>
  </si>
  <si>
    <t>Material segregation of tower-4</t>
  </si>
  <si>
    <t>Used for Enco works</t>
  </si>
  <si>
    <t>CT1010-02 temporary chassis modification, offloading of the 70-ton crawler crane has been completed, and its assembly is currently in progress, including installation of the counterweights</t>
  </si>
  <si>
    <t>Tower-4&amp;8</t>
  </si>
  <si>
    <t>Material segregation of tower-4&amp;8</t>
  </si>
  <si>
    <t>Tower-4,8&amp;3</t>
  </si>
  <si>
    <t>130T crawler crane is dis-mantled</t>
  </si>
  <si>
    <t>Loading of TR1010-026 materials to parking area</t>
  </si>
  <si>
    <t>70-ton crawler crane assembly is currently in-progress&amp;chassis assembly modification</t>
  </si>
  <si>
    <t>DBD BUILDING</t>
  </si>
  <si>
    <t>Electrical Works</t>
  </si>
  <si>
    <t>Electrical testing</t>
  </si>
  <si>
    <t xml:space="preserve">DBD building stopper installation for overhead crane </t>
  </si>
  <si>
    <t>Material segregation of tower-8, pre-assembly of tower-4</t>
  </si>
  <si>
    <t xml:space="preserve">Loading of TR1010-026 materials to parking area&amp; crawler crane materials to yard-3 </t>
  </si>
  <si>
    <t>Work has been suspended due to site blockage, as per the Vale telephone communication received from Claudio Cannas.</t>
  </si>
  <si>
    <t>70-ton crawler crane assembly&amp;chassis assembly modification have been completed</t>
  </si>
  <si>
    <t>Bolt Torquing of Tower- 04</t>
  </si>
  <si>
    <t>Tower-4&amp;9</t>
  </si>
  <si>
    <t>Material segregation of tower-9, pre-assembly of tower-4</t>
  </si>
  <si>
    <t>Loading of TR1010-26 material (Tower-9) case  43 &amp; 130 Ton crawler crane to TR1010-26 assembly at parking area</t>
  </si>
  <si>
    <t>Went to outside of Vale for maintenance (oil change)and remained idle for the day once it returned to site at around 02.30 pm</t>
  </si>
  <si>
    <t>4 hrs</t>
  </si>
  <si>
    <t>The crane worked around 4 hrs only; 6 am to 09.30 am, stopped its operation after 09:30 AM due to oil leakage problem and it went outside of Vale at 4 PM after receiving LOTO to access yard 2 gate</t>
  </si>
  <si>
    <t>Loading of  CT1010-02 ( Case. 27) &amp; 130 Ton crawler crane parts  to TR1010-26 assembly at parking area</t>
  </si>
  <si>
    <t>The 100T telescopic crane came back to yard-2 at around 11:00 AM after receiving LOTO to access yard 2 gate</t>
  </si>
  <si>
    <t>Pre-assembly&amp;torquing of tower-4</t>
  </si>
  <si>
    <t>Painting touch-up, Pre-assembly&amp;torquing of tower-4</t>
  </si>
  <si>
    <t>Crane offloading&amp; assembly, pre-assembly&amp;torquing of tower-4</t>
  </si>
  <si>
    <t>Crane assembly</t>
  </si>
  <si>
    <t>Crane Assembly is in-progress</t>
  </si>
  <si>
    <t>Loading of  CT1010-02 ( Case. 28) to yard-3</t>
  </si>
  <si>
    <t>Loading of 130 Ton crawler crane parts  to TR1010-26 assembly at parking area</t>
  </si>
  <si>
    <t>SCISSOR LIFT-01</t>
  </si>
  <si>
    <t>SCISSOR LIFT-02</t>
  </si>
  <si>
    <t>Ali Haider</t>
  </si>
  <si>
    <t>Common Area</t>
  </si>
  <si>
    <t>TSF works</t>
  </si>
  <si>
    <t xml:space="preserve"> 70T Crawler crane inspection is on going, Material offloading and shifting to yard 2 (CL 042, CL 028), Offloading of 150T Hitachi crawler crane</t>
  </si>
  <si>
    <t>Offloading of materials from yard 3 to yard 2 such as CL 042, CL 028 along with material organization and segregation</t>
  </si>
  <si>
    <t>Torquing of tower- 3&amp;4</t>
  </si>
  <si>
    <t>Painting touch-up,Torquing of tower-3&amp;4</t>
  </si>
  <si>
    <t>TOWER LIGHT -5</t>
  </si>
  <si>
    <t>Loading of  150T crawler crane &amp; CT1010-02 column material CL006 ( Case. 14) to yard-3</t>
  </si>
  <si>
    <t>150T crawler crane is dis-manted &amp; shifting to yard-3</t>
  </si>
  <si>
    <t>Renault Lowbed Trailer 2939ML</t>
  </si>
  <si>
    <t xml:space="preserve"> 70T Crawler crane inspection is on going, Material offloading and shifting to yard 2 (CL 006)</t>
  </si>
  <si>
    <t>Offloading of materials from yard 3 to yard 2 such as CL 006  along with material organization and segregation</t>
  </si>
  <si>
    <t>Crane Assembly is completed</t>
  </si>
  <si>
    <t>Crane assembly,  torquing of tower-3&amp; 4 &amp;painting touch-up works</t>
  </si>
  <si>
    <t>Loading of  150T crawler crane &amp; CT1010-02 column material BM245 (Case . 12), BM247 (Case 12), BM404 (Case 13)</t>
  </si>
  <si>
    <t>70T Hitachi Crawler Crane- 01</t>
  </si>
  <si>
    <t>Crane Assembly</t>
  </si>
  <si>
    <t>Inspection is on-going</t>
  </si>
  <si>
    <t>Crane has not assembled yet</t>
  </si>
  <si>
    <t xml:space="preserve"> material organization,segregation and cleaning</t>
  </si>
  <si>
    <t>Torquing of tower- 4</t>
  </si>
  <si>
    <t>Painting touch-up,Torquing of tower-4</t>
  </si>
  <si>
    <t>Material segregation</t>
  </si>
  <si>
    <t>HIAB Driver Absent</t>
  </si>
  <si>
    <t>Trailer driver absent</t>
  </si>
  <si>
    <t>Halting of Trailor Movement from Laydown Area to Yard- 3 due to Yard-3 Access Road Blockage  (TR 1010.09 Counter Weight Arresting (Ocean Rubber ), Equipment &amp; Manpower remained idle around 6 hours (Between 06:00 AM - 12:30 PM)</t>
  </si>
  <si>
    <t>Work activities were suspended by Vale Safety at 12:30 pm due to adverse weather conditions.</t>
  </si>
  <si>
    <t>Column stacking</t>
  </si>
  <si>
    <t>Stacking of structural steel columns</t>
  </si>
  <si>
    <t>Loading of  TR1010-26 Package No. 23 ( Tower- 10) and Package No. 44 ( Tower- 9 ) from laydown area to contractor's parking area.</t>
  </si>
  <si>
    <t>CT1010-02 material offloading of BM 092, BM 375, BM 376 and shifting of BM 092 to yard-2 and the 150T crawler crane assembly is underway, with the chain being assembled.</t>
  </si>
  <si>
    <t>Material Offloading of  case no. 06&amp; BM 092 from yard-3 and its segregation</t>
  </si>
  <si>
    <t>Tower-8&amp;9&amp;10</t>
  </si>
  <si>
    <t>Azhar</t>
  </si>
  <si>
    <t>Work activities were suspended by Vale Safety due to adverse weather conditions</t>
  </si>
  <si>
    <t>Work activities were suspended by Vale management due to adverse weather conditions</t>
  </si>
  <si>
    <t>At Yard‑3, the 150T crawler crane assembly was halted.,As ground leveling was required to resume work.</t>
  </si>
  <si>
    <t>Idle due to maintenance work,Requires repair but no access to remove the crane from area. Yard 2 access flooded</t>
  </si>
  <si>
    <t>Erection of BM 094 (7 nos), BM 388, BM 372, BM 373, VB 046, VB 048 and material segregation.</t>
  </si>
  <si>
    <t>Pre-assembly</t>
  </si>
  <si>
    <t xml:space="preserve">Erection of DDSTW10CL001,DDSTW10CL002,DDSTW10BM013,DDSTW10BM019-2(no),DDSTW10BM018,DDSTW10BM012 </t>
  </si>
  <si>
    <t>Painting Coating</t>
  </si>
  <si>
    <t>Loading</t>
  </si>
  <si>
    <t>Loading of TR1010-26 materials (Case No. 24 -Tower-10) to contractor's parking area and 150T crawler crane materials to yard-3,loading of CT1010-02 materials to yard-2,removal of materials from inside of the module and shifting of electrical supports for substation</t>
  </si>
  <si>
    <t>70T Hitachi Crawler Crane- 02</t>
  </si>
  <si>
    <t>Crane Assembly is in progress</t>
  </si>
  <si>
    <t>At Yard-3, the 150T crawler crane assembly is underway, with the completion of counter weights installation, At Yard‑3, the 150T crawler crane assembly was halted, as ground leveling was required to resume work</t>
  </si>
  <si>
    <t>Erection of BM 92, BM 229, CL 025 and torquing of CL 042, CL 028 along with material segregation</t>
  </si>
  <si>
    <t>Erection of DDSTW10CL004,DDSTW10CL005,DDSTW10BM003,DDSTW10BM001-2(no),DDSTW10BM038,DDSTW10BM046,DDSTW10BM039</t>
  </si>
  <si>
    <t>loading and shifting of TR1010-26 materials (Case No. 45 -Tower- 11) to contractor's parking area,loading and shifting of CT1010-02 materials Case no. 12 (BM261, BM339, BM405), Case no. 14 (CL008 ,CL050), Case no. 30 (BM320-1, BM354-2) to yard-3,removal of materials from inside of the module and shifting of electrical supports for substation,offloading of the new 70T crawler crane and cable trays for reclaimer substation .</t>
  </si>
  <si>
    <t>55 SEAT BUS 7885YM (RENTAL)</t>
  </si>
  <si>
    <t>FLATBED TRAILER</t>
  </si>
  <si>
    <t xml:space="preserve">4T JCB TELEHANDLER </t>
  </si>
  <si>
    <t>idle as area clearing and leveling executed using excavator support to facilitate crane access</t>
  </si>
  <si>
    <t>Erection of TR 001, VB 009, VB 010 and torquing of CL 042, CL 028, Levelling adjustment of CL 009, CL 010, CL 051 along with material segregation.</t>
  </si>
  <si>
    <t>Erection of DDSTW10VB005-2(no),DDSTW10VB002-2(no),DDSTW10BM032,DDSTW09CL001,DDSTW09CL002,DDSTW09BM001-2(no),DDSTW09BM003,DDSTW09BM004,DDSTW09BM005</t>
  </si>
  <si>
    <t>Loading and shifting of TR1010-26 materials Case No. 46 &amp; 47 (Tower- 11&amp;12) to contractor's parking area,removal of materials from inside of the module and shifting of electrical supports for substation,assembly of the new 70T crawler crane is in-progress</t>
  </si>
  <si>
    <t>No</t>
  </si>
  <si>
    <t>Filled By</t>
  </si>
  <si>
    <t>Date</t>
  </si>
  <si>
    <t>Company</t>
  </si>
  <si>
    <t>Name Surname</t>
  </si>
  <si>
    <t>Column1</t>
  </si>
  <si>
    <t>Designation</t>
  </si>
  <si>
    <t>Man/Equ</t>
  </si>
  <si>
    <t>Category</t>
  </si>
  <si>
    <t>Area</t>
  </si>
  <si>
    <t>Reference</t>
  </si>
  <si>
    <t>Item Tag</t>
  </si>
  <si>
    <t>Shift</t>
  </si>
  <si>
    <t>Manhours</t>
  </si>
  <si>
    <t>Main Activity</t>
  </si>
  <si>
    <t>Sub Act</t>
  </si>
  <si>
    <t>Sub-Sub Act</t>
  </si>
  <si>
    <t>Note</t>
  </si>
  <si>
    <t>JSA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</si>
</sst>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hrs&quot;"/>
  </numFmts>
  <fonts count="6" x14ac:knownFonts="1">
    <font>
      <sz val="11"/>
      <color theme="1"/>
      <name val="Aptos Narrow"/>
      <family val="2"/>
      <scheme val="minor"/>
    </font>
    <font>
      <sz val="10"/>
      <color theme="1"/>
      <name val="Aptos Narrow"/>
      <family val="2"/>
      <scheme val="minor"/>
    </font>
    <font>
      <sz val="10"/>
      <color theme="1"/>
      <name val="Calibri"/>
      <family val="2"/>
    </font>
    <font>
      <sz val="10"/>
      <color theme="1"/>
      <name val="Aptos Narrow"/>
      <family val="2"/>
      <charset val="134"/>
      <scheme val="minor"/>
    </font>
    <font>
      <b/>
      <sz val="10"/>
      <name val="Aptos Narrow"/>
      <family val="2"/>
      <scheme val="minor"/>
    </font>
    <font>
      <b/>
      <sz val="10"/>
      <color theme="0"/>
      <name val="Aptos Narrow"/>
      <family val="2"/>
      <scheme val="minor"/>
    </font>
  </fonts>
  <fills count="13">
    <fill>
      <patternFill patternType="none"/>
    </fill>
    <fill>
      <patternFill patternType="gray125"/>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rgb="FFFFFF00"/>
        <bgColor indexed="64"/>
      </patternFill>
    </fill>
    <fill>
      <patternFill patternType="solid">
        <fgColor theme="9" tint="0.39988402966399123"/>
        <bgColor indexed="64"/>
      </patternFill>
    </fill>
    <fill>
      <patternFill patternType="solid">
        <fgColor theme="7" tint="0.39988402966399123"/>
        <bgColor indexed="64"/>
      </patternFill>
    </fill>
    <fill>
      <patternFill patternType="solid">
        <fgColor theme="8" tint="0.39994506668294322"/>
        <bgColor indexed="64"/>
      </patternFill>
    </fill>
    <fill>
      <patternFill patternType="solid">
        <fgColor theme="9" tint="0.39985351115451523"/>
        <bgColor indexed="64"/>
      </patternFill>
    </fill>
    <fill>
      <patternFill patternType="solid">
        <fgColor theme="7" tint="0.39985351115451523"/>
        <bgColor indexed="64"/>
      </patternFill>
    </fill>
    <fill>
      <patternFill patternType="solid">
        <fgColor rgb="FFFFC000"/>
        <bgColor indexed="64"/>
      </patternFill>
    </fill>
    <fill>
      <patternFill patternType="solid">
        <fgColor theme="3" tint="0.59999389629810485"/>
        <bgColor indexed="64"/>
      </patternFill>
    </fill>
    <fill>
      <patternFill patternType="solid">
        <fgColor theme="4"/>
        <bgColor theme="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auto="1"/>
      </left>
      <right style="hair">
        <color auto="1"/>
      </right>
      <top style="medium">
        <color auto="1"/>
      </top>
      <bottom style="thin">
        <color theme="4" tint="0.39997558519241921"/>
      </bottom>
      <diagonal/>
    </border>
    <border>
      <left/>
      <right style="hair">
        <color auto="1"/>
      </right>
      <top style="medium">
        <color auto="1"/>
      </top>
      <bottom style="thin">
        <color theme="4" tint="0.39997558519241921"/>
      </bottom>
      <diagonal/>
    </border>
    <border>
      <left style="hair">
        <color auto="1"/>
      </left>
      <right style="hair">
        <color auto="1"/>
      </right>
      <top style="medium">
        <color auto="1"/>
      </top>
      <bottom style="thin">
        <color theme="4" tint="0.39997558519241921"/>
      </bottom>
      <diagonal/>
    </border>
    <border>
      <left style="hair">
        <color auto="1"/>
      </left>
      <right style="hair">
        <color auto="1"/>
      </right>
      <top style="thin">
        <color theme="4" tint="0.39997558519241921"/>
      </top>
      <bottom style="thin">
        <color theme="4" tint="0.39997558519241921"/>
      </bottom>
      <diagonal/>
    </border>
  </borders>
  <cellStyleXfs count="1">
    <xf numFmtId="0" fontId="0" fillId="0" borderId="0"/>
  </cellStyleXfs>
  <cellXfs count="51">
    <xf numFmtId="0" fontId="0" fillId="0" borderId="0" xfId="0"/>
    <xf numFmtId="1" fontId="1" fillId="2" borderId="1" xfId="0" applyNumberFormat="1" applyFont="1" applyFill="1" applyBorder="1" applyAlignment="1">
      <alignment horizontal="center" vertical="center"/>
    </xf>
    <xf numFmtId="1" fontId="1" fillId="3"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0" fillId="2" borderId="2" xfId="0" applyFill="1" applyBorder="1"/>
    <xf numFmtId="0" fontId="1" fillId="2" borderId="2" xfId="0" applyFont="1" applyFill="1" applyBorder="1" applyAlignment="1">
      <alignment horizontal="center" vertical="center"/>
    </xf>
    <xf numFmtId="164" fontId="1"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1" fillId="2" borderId="3" xfId="0" applyFont="1" applyFill="1" applyBorder="1" applyAlignment="1">
      <alignment horizontal="center" vertical="center"/>
    </xf>
    <xf numFmtId="1" fontId="1" fillId="0" borderId="1" xfId="0" applyNumberFormat="1" applyFont="1" applyBorder="1" applyAlignment="1">
      <alignment horizontal="center" vertical="center"/>
    </xf>
    <xf numFmtId="1" fontId="1" fillId="4" borderId="2" xfId="0" applyNumberFormat="1" applyFont="1" applyFill="1" applyBorder="1" applyAlignment="1">
      <alignment horizontal="center" vertical="center"/>
    </xf>
    <xf numFmtId="14" fontId="1" fillId="0" borderId="2" xfId="0" applyNumberFormat="1" applyFont="1" applyBorder="1" applyAlignment="1">
      <alignment horizontal="center" vertical="center"/>
    </xf>
    <xf numFmtId="0" fontId="0" fillId="0" borderId="2" xfId="0" applyBorder="1"/>
    <xf numFmtId="0" fontId="1" fillId="0" borderId="2" xfId="0" applyFont="1" applyBorder="1" applyAlignment="1">
      <alignment horizontal="center" vertical="center"/>
    </xf>
    <xf numFmtId="164" fontId="1" fillId="0" borderId="2" xfId="0" applyNumberFormat="1" applyFont="1" applyBorder="1" applyAlignment="1">
      <alignment horizontal="center" vertical="center"/>
    </xf>
    <xf numFmtId="0" fontId="1" fillId="0" borderId="3" xfId="0" applyFont="1" applyBorder="1" applyAlignment="1">
      <alignment horizontal="center" vertical="center"/>
    </xf>
    <xf numFmtId="1" fontId="1" fillId="5" borderId="2" xfId="0" applyNumberFormat="1" applyFont="1" applyFill="1" applyBorder="1" applyAlignment="1">
      <alignment horizontal="center" vertical="center"/>
    </xf>
    <xf numFmtId="1" fontId="1" fillId="6" borderId="2" xfId="0" applyNumberFormat="1" applyFont="1" applyFill="1" applyBorder="1" applyAlignment="1">
      <alignment horizontal="center" vertical="center"/>
    </xf>
    <xf numFmtId="14" fontId="2" fillId="2" borderId="2" xfId="0" applyNumberFormat="1" applyFont="1" applyFill="1" applyBorder="1" applyAlignment="1">
      <alignment horizontal="center" vertical="center"/>
    </xf>
    <xf numFmtId="1" fontId="1" fillId="7" borderId="2" xfId="0" applyNumberFormat="1" applyFont="1" applyFill="1" applyBorder="1" applyAlignment="1">
      <alignment horizontal="center" vertical="center"/>
    </xf>
    <xf numFmtId="1" fontId="1" fillId="8" borderId="2" xfId="0" applyNumberFormat="1" applyFont="1" applyFill="1" applyBorder="1" applyAlignment="1">
      <alignment horizontal="center" vertical="center"/>
    </xf>
    <xf numFmtId="1" fontId="1" fillId="9"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1" fontId="1" fillId="0" borderId="2" xfId="0" applyNumberFormat="1" applyFont="1" applyBorder="1" applyAlignment="1">
      <alignment horizontal="center" vertical="center"/>
    </xf>
    <xf numFmtId="1" fontId="1" fillId="4" borderId="1" xfId="0" applyNumberFormat="1" applyFont="1" applyFill="1" applyBorder="1" applyAlignment="1">
      <alignment horizontal="center" vertical="center"/>
    </xf>
    <xf numFmtId="14" fontId="1" fillId="4" borderId="2" xfId="0" applyNumberFormat="1" applyFont="1" applyFill="1" applyBorder="1" applyAlignment="1">
      <alignment horizontal="center" vertical="center"/>
    </xf>
    <xf numFmtId="164" fontId="1" fillId="4" borderId="2" xfId="0" applyNumberFormat="1" applyFont="1" applyFill="1" applyBorder="1" applyAlignment="1">
      <alignment horizontal="center" vertical="center"/>
    </xf>
    <xf numFmtId="0" fontId="1" fillId="4" borderId="3" xfId="0" applyFont="1" applyFill="1" applyBorder="1" applyAlignment="1">
      <alignment horizontal="center" vertical="center"/>
    </xf>
    <xf numFmtId="0" fontId="1" fillId="0" borderId="1" xfId="0" applyFont="1" applyBorder="1" applyAlignment="1">
      <alignment horizontal="center"/>
    </xf>
    <xf numFmtId="0" fontId="1" fillId="2" borderId="1" xfId="0" applyFont="1" applyFill="1" applyBorder="1" applyAlignment="1">
      <alignment horizontal="center"/>
    </xf>
    <xf numFmtId="1" fontId="1" fillId="10" borderId="2" xfId="0" applyNumberFormat="1" applyFont="1" applyFill="1" applyBorder="1" applyAlignment="1">
      <alignment horizontal="center" vertical="center"/>
    </xf>
    <xf numFmtId="0" fontId="1" fillId="4" borderId="1" xfId="0" applyFont="1" applyFill="1" applyBorder="1" applyAlignment="1">
      <alignment horizontal="center"/>
    </xf>
    <xf numFmtId="1" fontId="3" fillId="3" borderId="2" xfId="0" applyNumberFormat="1" applyFont="1" applyFill="1" applyBorder="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164" fontId="3" fillId="2" borderId="2" xfId="0" applyNumberFormat="1" applyFont="1" applyFill="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164" fontId="3" fillId="0" borderId="2" xfId="0" applyNumberFormat="1" applyFont="1" applyBorder="1" applyAlignment="1">
      <alignment horizontal="center" vertical="center"/>
    </xf>
    <xf numFmtId="0" fontId="3" fillId="0" borderId="3" xfId="0" applyFont="1" applyBorder="1" applyAlignment="1">
      <alignment horizontal="center" vertical="center"/>
    </xf>
    <xf numFmtId="1" fontId="3" fillId="4" borderId="2" xfId="0" applyNumberFormat="1" applyFont="1" applyFill="1" applyBorder="1" applyAlignment="1">
      <alignment horizontal="center" vertical="center"/>
    </xf>
    <xf numFmtId="1" fontId="3" fillId="10" borderId="2" xfId="0" applyNumberFormat="1" applyFont="1" applyFill="1" applyBorder="1" applyAlignment="1">
      <alignment horizontal="center" vertical="center"/>
    </xf>
    <xf numFmtId="1" fontId="3" fillId="11" borderId="2" xfId="0" applyNumberFormat="1" applyFont="1" applyFill="1" applyBorder="1" applyAlignment="1">
      <alignment horizontal="center" vertical="center"/>
    </xf>
    <xf numFmtId="1" fontId="3" fillId="2" borderId="2" xfId="0" applyNumberFormat="1" applyFont="1" applyFill="1" applyBorder="1" applyAlignment="1">
      <alignment horizontal="center" vertical="center"/>
    </xf>
    <xf numFmtId="1" fontId="3" fillId="0" borderId="2" xfId="0" applyNumberFormat="1" applyFont="1" applyBorder="1" applyAlignment="1">
      <alignment horizontal="center" vertical="center"/>
    </xf>
    <xf numFmtId="0" fontId="4" fillId="4" borderId="4" xfId="0" applyFont="1" applyFill="1" applyBorder="1" applyAlignment="1">
      <alignment horizontal="center" vertical="center"/>
    </xf>
    <xf numFmtId="0" fontId="5" fillId="12" borderId="5" xfId="0" applyFont="1" applyFill="1" applyBorder="1" applyAlignment="1">
      <alignment horizontal="center" vertical="center"/>
    </xf>
    <xf numFmtId="0" fontId="4" fillId="4" borderId="5"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7" xfId="0" applyFont="1" applyFill="1" applyBorder="1" applyAlignment="1">
      <alignment horizontal="center" vertical="center"/>
    </xf>
    <xf numFmtId="0" fontId="5" fillId="12" borderId="3" xfId="0" applyFont="1" applyFill="1" applyBorder="1" applyAlignment="1">
      <alignment horizontal="center" vertical="center"/>
    </xf>
  </cellXfs>
  <cellStyles count="1">
    <cellStyle name="Normal" xfId="0" builtinId="0"/>
  </cellStyles>
  <dxfs count="3">
    <dxf>
      <fill>
        <patternFill patternType="solid">
          <bgColor rgb="FFFFC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Manpower%20Tracking\Enco\25-EG-OM-017-Mnp%20Tracking-March%202026-Updated.xlsx" TargetMode="External"/><Relationship Id="rId1" Type="http://schemas.openxmlformats.org/officeDocument/2006/relationships/externalLinkPath" Target="25-EG-OM-017-Mnp%20Tracking-March%202026-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mulative"/>
      <sheetName val="March 2026"/>
      <sheetName val="Tasks"/>
      <sheetName val="Manpower"/>
      <sheetName val="April 2026"/>
    </sheetNames>
    <sheetDataSet>
      <sheetData sheetId="0"/>
      <sheetData sheetId="1"/>
      <sheetData sheetId="2"/>
      <sheetData sheetId="3">
        <row r="3">
          <cell r="C3" t="str">
            <v>Name</v>
          </cell>
        </row>
        <row r="4">
          <cell r="B4" t="str">
            <v>Encogroup</v>
          </cell>
          <cell r="C4" t="str">
            <v>George Tcheroyan</v>
          </cell>
          <cell r="D4">
            <v>121598538</v>
          </cell>
          <cell r="F4" t="str">
            <v>Project Manager</v>
          </cell>
          <cell r="H4" t="str">
            <v>Manpower</v>
          </cell>
        </row>
        <row r="5">
          <cell r="B5" t="str">
            <v>Encogroup</v>
          </cell>
          <cell r="C5" t="str">
            <v>Vicken Tcheroyan</v>
          </cell>
          <cell r="D5">
            <v>121668462</v>
          </cell>
          <cell r="F5" t="str">
            <v>Site Manager</v>
          </cell>
          <cell r="H5" t="str">
            <v>Manpower</v>
          </cell>
        </row>
        <row r="6">
          <cell r="B6" t="str">
            <v>Encogroup</v>
          </cell>
          <cell r="C6" t="str">
            <v>Mhamed Sheikh</v>
          </cell>
          <cell r="D6">
            <v>122370101</v>
          </cell>
          <cell r="F6" t="str">
            <v>Quality Manager</v>
          </cell>
          <cell r="H6" t="str">
            <v>Manpower</v>
          </cell>
        </row>
        <row r="7">
          <cell r="B7" t="str">
            <v>Encogroup</v>
          </cell>
          <cell r="C7" t="str">
            <v>Rabih Ali El Borji</v>
          </cell>
          <cell r="D7">
            <v>123541357</v>
          </cell>
          <cell r="F7" t="str">
            <v>Admin Manager</v>
          </cell>
          <cell r="H7" t="str">
            <v>Manpower</v>
          </cell>
        </row>
        <row r="8">
          <cell r="B8" t="str">
            <v>Encogroup</v>
          </cell>
          <cell r="C8" t="str">
            <v>Peter Farah</v>
          </cell>
          <cell r="D8">
            <v>122045765</v>
          </cell>
          <cell r="F8" t="str">
            <v>Lead Mechanical Engineer</v>
          </cell>
          <cell r="H8" t="str">
            <v>Manpower</v>
          </cell>
        </row>
        <row r="9">
          <cell r="B9" t="str">
            <v>Encogroup</v>
          </cell>
          <cell r="C9" t="str">
            <v>Abdullah Humaid Al Nofali</v>
          </cell>
          <cell r="D9">
            <v>27637114</v>
          </cell>
          <cell r="F9" t="str">
            <v>Driver</v>
          </cell>
          <cell r="H9" t="str">
            <v>Manpower</v>
          </cell>
        </row>
        <row r="10">
          <cell r="B10" t="str">
            <v>Encogroup</v>
          </cell>
          <cell r="C10" t="str">
            <v>Maroun Raymond Sarkis</v>
          </cell>
          <cell r="D10">
            <v>127387473</v>
          </cell>
          <cell r="F10" t="str">
            <v>Mechanical engineer</v>
          </cell>
          <cell r="H10" t="str">
            <v>Manpower</v>
          </cell>
        </row>
        <row r="11">
          <cell r="B11" t="str">
            <v>Encogroup</v>
          </cell>
          <cell r="C11" t="str">
            <v>Cherbel Nabih Gebrael</v>
          </cell>
          <cell r="D11">
            <v>116894252</v>
          </cell>
          <cell r="F11" t="str">
            <v>Purchasing Manager</v>
          </cell>
          <cell r="H11" t="str">
            <v>Manpower</v>
          </cell>
        </row>
        <row r="12">
          <cell r="B12" t="str">
            <v>Encogroup</v>
          </cell>
          <cell r="C12" t="str">
            <v>Fenil Paul</v>
          </cell>
          <cell r="D12">
            <v>137098196</v>
          </cell>
          <cell r="F12" t="str">
            <v>Lifting engineer</v>
          </cell>
          <cell r="H12" t="str">
            <v>Manpower</v>
          </cell>
        </row>
        <row r="13">
          <cell r="B13" t="str">
            <v>Encogroup</v>
          </cell>
          <cell r="C13" t="str">
            <v>Abishek Pandey</v>
          </cell>
          <cell r="D13" t="str">
            <v>123487214</v>
          </cell>
          <cell r="F13" t="str">
            <v>Gas Cutter</v>
          </cell>
          <cell r="H13" t="str">
            <v>Manpower</v>
          </cell>
        </row>
        <row r="14">
          <cell r="B14" t="str">
            <v>BUSHRA</v>
          </cell>
          <cell r="C14" t="str">
            <v>Adil</v>
          </cell>
          <cell r="D14" t="str">
            <v>Not Required</v>
          </cell>
          <cell r="F14" t="str">
            <v>Diesel Re-fueling team</v>
          </cell>
          <cell r="H14" t="str">
            <v>Manpower</v>
          </cell>
        </row>
        <row r="15">
          <cell r="B15" t="str">
            <v>Encogroup</v>
          </cell>
          <cell r="C15" t="str">
            <v>Gokul Reghu</v>
          </cell>
          <cell r="D15">
            <v>123472431</v>
          </cell>
          <cell r="F15" t="str">
            <v>Site Coordinator / Timekeeper</v>
          </cell>
          <cell r="H15" t="str">
            <v>Manpower</v>
          </cell>
        </row>
        <row r="16">
          <cell r="B16" t="str">
            <v>Encogroup</v>
          </cell>
          <cell r="C16" t="str">
            <v>Fatema Al Abri</v>
          </cell>
          <cell r="D16">
            <v>12782421</v>
          </cell>
          <cell r="F16" t="str">
            <v>Admin Assistant</v>
          </cell>
          <cell r="H16" t="str">
            <v>Manpower</v>
          </cell>
        </row>
        <row r="17">
          <cell r="B17" t="str">
            <v>Encogroup</v>
          </cell>
          <cell r="C17" t="str">
            <v>Akhilesh Kumar-Welder</v>
          </cell>
          <cell r="D17" t="str">
            <v>U4181508</v>
          </cell>
          <cell r="F17" t="str">
            <v>Welder</v>
          </cell>
          <cell r="H17" t="str">
            <v>Manpower</v>
          </cell>
        </row>
        <row r="18">
          <cell r="B18" t="str">
            <v>Encogroup</v>
          </cell>
          <cell r="C18" t="str">
            <v>Ali Riza</v>
          </cell>
          <cell r="D18">
            <v>140849254</v>
          </cell>
          <cell r="F18" t="str">
            <v>Construction Manager</v>
          </cell>
          <cell r="H18" t="str">
            <v>Manpower</v>
          </cell>
        </row>
        <row r="19">
          <cell r="B19" t="str">
            <v>Encogroup</v>
          </cell>
          <cell r="C19" t="str">
            <v>Pappu Kumar Yadaw</v>
          </cell>
          <cell r="D19">
            <v>122082769</v>
          </cell>
          <cell r="F19" t="str">
            <v>Grinder</v>
          </cell>
          <cell r="H19" t="str">
            <v>Manpower</v>
          </cell>
        </row>
        <row r="20">
          <cell r="B20" t="str">
            <v>Encogroup</v>
          </cell>
          <cell r="C20" t="str">
            <v>Arun Kumar</v>
          </cell>
          <cell r="D20" t="str">
            <v>123039392</v>
          </cell>
          <cell r="F20" t="str">
            <v>Fitter/Erector</v>
          </cell>
          <cell r="H20" t="str">
            <v>Manpower</v>
          </cell>
        </row>
        <row r="21">
          <cell r="B21" t="str">
            <v>Encogroup</v>
          </cell>
          <cell r="C21" t="str">
            <v>Arunraj Rajendiren</v>
          </cell>
          <cell r="D21">
            <v>118833981</v>
          </cell>
          <cell r="F21" t="str">
            <v>Scheduler / Planning Engineer</v>
          </cell>
          <cell r="H21" t="str">
            <v>Manpower</v>
          </cell>
        </row>
        <row r="22">
          <cell r="B22" t="str">
            <v>Encogroup</v>
          </cell>
          <cell r="C22" t="str">
            <v>Ameer Ali</v>
          </cell>
          <cell r="D22">
            <v>125440631</v>
          </cell>
          <cell r="F22" t="str">
            <v>Rigger</v>
          </cell>
          <cell r="H22" t="str">
            <v>Manpower</v>
          </cell>
        </row>
        <row r="23">
          <cell r="B23" t="str">
            <v>Encogroup</v>
          </cell>
          <cell r="C23" t="str">
            <v>Wesley Jan Estandarte</v>
          </cell>
          <cell r="D23">
            <v>117255966</v>
          </cell>
          <cell r="F23" t="str">
            <v>Mechanical Supervisor</v>
          </cell>
          <cell r="H23" t="str">
            <v>Manpower</v>
          </cell>
        </row>
        <row r="24">
          <cell r="B24" t="str">
            <v>Encogroup</v>
          </cell>
          <cell r="C24" t="str">
            <v>Ashwini Kumar</v>
          </cell>
          <cell r="D24">
            <v>127414586</v>
          </cell>
          <cell r="F24" t="str">
            <v>Electrician</v>
          </cell>
          <cell r="H24" t="str">
            <v>Manpower</v>
          </cell>
        </row>
        <row r="25">
          <cell r="B25" t="str">
            <v>Encogroup</v>
          </cell>
          <cell r="C25" t="str">
            <v>Azzam Ahmed</v>
          </cell>
          <cell r="D25" t="str">
            <v>124346519</v>
          </cell>
          <cell r="F25" t="str">
            <v>Mechanical Foreman</v>
          </cell>
          <cell r="H25" t="str">
            <v>Manpower</v>
          </cell>
        </row>
        <row r="26">
          <cell r="B26" t="str">
            <v>Encogroup</v>
          </cell>
          <cell r="C26" t="str">
            <v>Bader Al-Buloshi</v>
          </cell>
          <cell r="D26">
            <v>15290981</v>
          </cell>
          <cell r="F26" t="str">
            <v>Driver</v>
          </cell>
          <cell r="H26" t="str">
            <v>Manpower</v>
          </cell>
        </row>
        <row r="27">
          <cell r="B27" t="str">
            <v>Encogroup</v>
          </cell>
          <cell r="C27" t="str">
            <v>Jaison Marottikkal Lorance</v>
          </cell>
          <cell r="D27">
            <v>120892366</v>
          </cell>
          <cell r="F27" t="str">
            <v>HSE Officer</v>
          </cell>
          <cell r="H27" t="str">
            <v>Manpower</v>
          </cell>
        </row>
        <row r="28">
          <cell r="B28" t="str">
            <v>Encogroup</v>
          </cell>
          <cell r="C28" t="str">
            <v>Bader Nasser Said Masoud Al Nofali</v>
          </cell>
          <cell r="D28">
            <v>28065391</v>
          </cell>
          <cell r="F28" t="str">
            <v>Driver</v>
          </cell>
          <cell r="H28" t="str">
            <v>Manpower</v>
          </cell>
        </row>
        <row r="29">
          <cell r="B29" t="str">
            <v>Encogroup</v>
          </cell>
          <cell r="C29" t="str">
            <v>Umesh Singh</v>
          </cell>
          <cell r="D29">
            <v>137114773</v>
          </cell>
          <cell r="F29" t="str">
            <v>Rigger</v>
          </cell>
          <cell r="H29" t="str">
            <v>Manpower</v>
          </cell>
        </row>
        <row r="30">
          <cell r="B30" t="str">
            <v>Encogroup</v>
          </cell>
          <cell r="C30" t="str">
            <v>Prakash Pandey</v>
          </cell>
          <cell r="D30">
            <v>140683371</v>
          </cell>
          <cell r="F30" t="str">
            <v>Rigger</v>
          </cell>
          <cell r="H30" t="str">
            <v>Manpower</v>
          </cell>
        </row>
        <row r="31">
          <cell r="B31" t="str">
            <v>Encogroup</v>
          </cell>
          <cell r="C31" t="str">
            <v>Rajkumar Dubey</v>
          </cell>
          <cell r="D31">
            <v>140683399</v>
          </cell>
          <cell r="F31" t="str">
            <v>Rigger</v>
          </cell>
          <cell r="H31" t="str">
            <v>Manpower</v>
          </cell>
        </row>
        <row r="32">
          <cell r="B32" t="str">
            <v>Encogroup</v>
          </cell>
          <cell r="C32" t="str">
            <v>Haleem Ansari</v>
          </cell>
          <cell r="D32">
            <v>140683436</v>
          </cell>
          <cell r="F32" t="str">
            <v>Scaffolder</v>
          </cell>
          <cell r="H32" t="str">
            <v>Manpower</v>
          </cell>
        </row>
        <row r="33">
          <cell r="B33" t="str">
            <v>Encogroup</v>
          </cell>
          <cell r="C33" t="str">
            <v>Bal Krishna Bishwakarma</v>
          </cell>
          <cell r="D33" t="str">
            <v>122179637</v>
          </cell>
          <cell r="F33" t="str">
            <v>Mechanical Supervisor</v>
          </cell>
          <cell r="H33" t="str">
            <v>Manpower</v>
          </cell>
        </row>
        <row r="34">
          <cell r="B34" t="str">
            <v>Encogroup</v>
          </cell>
          <cell r="C34" t="str">
            <v>Balister Yadhav</v>
          </cell>
          <cell r="D34" t="str">
            <v>S3549132</v>
          </cell>
          <cell r="F34" t="str">
            <v>Grinder</v>
          </cell>
          <cell r="H34" t="str">
            <v>Manpower</v>
          </cell>
        </row>
        <row r="35">
          <cell r="B35" t="str">
            <v>Encogroup</v>
          </cell>
          <cell r="C35" t="str">
            <v>Basheer Abubakkar</v>
          </cell>
          <cell r="D35" t="str">
            <v>141177603</v>
          </cell>
          <cell r="F35" t="str">
            <v>Crane Operator</v>
          </cell>
          <cell r="H35" t="str">
            <v>Manpower</v>
          </cell>
        </row>
        <row r="36">
          <cell r="B36" t="str">
            <v>Encogroup</v>
          </cell>
          <cell r="C36" t="str">
            <v>Bhanu Kumar</v>
          </cell>
          <cell r="D36" t="str">
            <v>140848833</v>
          </cell>
          <cell r="F36" t="str">
            <v>Welder</v>
          </cell>
          <cell r="H36" t="str">
            <v>Manpower</v>
          </cell>
        </row>
        <row r="37">
          <cell r="B37" t="str">
            <v>Encogroup</v>
          </cell>
          <cell r="C37" t="str">
            <v>Dipu Sing</v>
          </cell>
          <cell r="D37">
            <v>140697025</v>
          </cell>
          <cell r="F37" t="str">
            <v>Assistant/Helper</v>
          </cell>
          <cell r="H37" t="str">
            <v>Manpower</v>
          </cell>
        </row>
        <row r="38">
          <cell r="B38" t="str">
            <v>Encogroup</v>
          </cell>
          <cell r="C38" t="str">
            <v>Manjesh Bharti</v>
          </cell>
          <cell r="D38">
            <v>140696975</v>
          </cell>
          <cell r="F38" t="str">
            <v>Assistant/Helper</v>
          </cell>
          <cell r="H38" t="str">
            <v>Manpower</v>
          </cell>
        </row>
        <row r="39">
          <cell r="B39" t="str">
            <v>Encogroup</v>
          </cell>
          <cell r="C39" t="str">
            <v>Lokesh Gupta</v>
          </cell>
          <cell r="D39">
            <v>140696961</v>
          </cell>
          <cell r="F39" t="str">
            <v>Assistant/Helper</v>
          </cell>
          <cell r="H39" t="str">
            <v>Manpower</v>
          </cell>
        </row>
        <row r="40">
          <cell r="B40" t="str">
            <v>Encogroup</v>
          </cell>
          <cell r="C40" t="str">
            <v>Vivek Kumar</v>
          </cell>
          <cell r="D40">
            <v>140696989</v>
          </cell>
          <cell r="F40" t="str">
            <v>Assistant/Helper</v>
          </cell>
          <cell r="H40" t="str">
            <v>Manpower</v>
          </cell>
        </row>
        <row r="41">
          <cell r="B41" t="str">
            <v>Encogroup</v>
          </cell>
          <cell r="C41" t="str">
            <v>Lav Kansaraj</v>
          </cell>
          <cell r="D41">
            <v>140697039</v>
          </cell>
          <cell r="F41" t="str">
            <v>Fitter/Erector</v>
          </cell>
          <cell r="H41" t="str">
            <v>Manpower</v>
          </cell>
        </row>
        <row r="42">
          <cell r="B42" t="str">
            <v>Encogroup</v>
          </cell>
          <cell r="C42" t="str">
            <v>Shijo Saji</v>
          </cell>
          <cell r="D42">
            <v>140696356</v>
          </cell>
          <cell r="F42" t="str">
            <v>Mechanical engineer</v>
          </cell>
          <cell r="H42" t="str">
            <v>Manpower</v>
          </cell>
        </row>
        <row r="43">
          <cell r="B43" t="str">
            <v>Encogroup</v>
          </cell>
          <cell r="C43" t="str">
            <v>Fawaz Aamir Said Hamdoon Al-Naamani</v>
          </cell>
          <cell r="D43">
            <v>23659394</v>
          </cell>
          <cell r="F43" t="str">
            <v>Junior PRO</v>
          </cell>
          <cell r="H43" t="str">
            <v>Manpower</v>
          </cell>
        </row>
        <row r="44">
          <cell r="B44" t="str">
            <v>Encogroup</v>
          </cell>
          <cell r="C44" t="str">
            <v>Dharmendra Kumar</v>
          </cell>
          <cell r="D44">
            <v>125199963</v>
          </cell>
          <cell r="F44" t="str">
            <v>Electrician</v>
          </cell>
          <cell r="H44" t="str">
            <v>Manpower</v>
          </cell>
        </row>
        <row r="45">
          <cell r="B45" t="str">
            <v>Encogroup</v>
          </cell>
          <cell r="C45" t="str">
            <v>Emile Baradhi</v>
          </cell>
          <cell r="D45">
            <v>118041216</v>
          </cell>
          <cell r="F45" t="str">
            <v>Material Manager</v>
          </cell>
          <cell r="H45" t="str">
            <v>Manpower</v>
          </cell>
        </row>
        <row r="46">
          <cell r="B46" t="str">
            <v>Encogroup</v>
          </cell>
          <cell r="C46" t="str">
            <v>Vinay Chaudhary</v>
          </cell>
          <cell r="D46">
            <v>122179604</v>
          </cell>
          <cell r="F46" t="str">
            <v>Fitter/Erector</v>
          </cell>
          <cell r="H46" t="str">
            <v>Manpower</v>
          </cell>
        </row>
        <row r="47">
          <cell r="B47" t="str">
            <v>Encogroup</v>
          </cell>
          <cell r="C47" t="str">
            <v>Maryam Abdallah Said Al Matrosushi</v>
          </cell>
          <cell r="D47">
            <v>14246361</v>
          </cell>
          <cell r="F47" t="str">
            <v>QS Engineer</v>
          </cell>
          <cell r="H47" t="str">
            <v>Manpower</v>
          </cell>
        </row>
        <row r="48">
          <cell r="B48" t="str">
            <v>Encogroup</v>
          </cell>
          <cell r="C48" t="str">
            <v>Sheikha Abdallah Said Al Matrosushi</v>
          </cell>
          <cell r="D48">
            <v>11196769</v>
          </cell>
          <cell r="F48" t="str">
            <v>HR Officer</v>
          </cell>
          <cell r="H48" t="str">
            <v>Manpower</v>
          </cell>
        </row>
        <row r="49">
          <cell r="B49" t="str">
            <v>Encogroup</v>
          </cell>
          <cell r="C49" t="str">
            <v>Dhinesh Vaithiyanathan</v>
          </cell>
          <cell r="D49">
            <v>140645388</v>
          </cell>
          <cell r="F49" t="str">
            <v>Store keeper</v>
          </cell>
          <cell r="H49" t="str">
            <v>Manpower</v>
          </cell>
        </row>
        <row r="50">
          <cell r="B50" t="str">
            <v>Al Jaber Heavy Lift</v>
          </cell>
          <cell r="C50" t="str">
            <v>Fawad Ahmed</v>
          </cell>
          <cell r="D50" t="str">
            <v>102607563</v>
          </cell>
          <cell r="F50" t="str">
            <v>Technician</v>
          </cell>
          <cell r="H50" t="str">
            <v>Manpower</v>
          </cell>
        </row>
        <row r="51">
          <cell r="B51" t="str">
            <v>Encogroup</v>
          </cell>
          <cell r="C51" t="str">
            <v>Afaaq Hussain</v>
          </cell>
          <cell r="D51">
            <v>126724428</v>
          </cell>
          <cell r="F51" t="str">
            <v>Surveyor</v>
          </cell>
          <cell r="H51" t="str">
            <v>Manpower</v>
          </cell>
        </row>
        <row r="52">
          <cell r="B52" t="str">
            <v>Encogroup</v>
          </cell>
          <cell r="C52" t="str">
            <v>Vinod Kumar</v>
          </cell>
          <cell r="D52">
            <v>122082863</v>
          </cell>
          <cell r="F52" t="str">
            <v>Grinder</v>
          </cell>
          <cell r="H52" t="str">
            <v>Manpower</v>
          </cell>
        </row>
        <row r="53">
          <cell r="B53" t="str">
            <v>Encogroup</v>
          </cell>
          <cell r="C53" t="str">
            <v>Abhishek Kumar Tiwari</v>
          </cell>
          <cell r="D53">
            <v>140742144</v>
          </cell>
          <cell r="F53" t="str">
            <v>Assistant/Helper</v>
          </cell>
          <cell r="H53" t="str">
            <v>Manpower</v>
          </cell>
        </row>
        <row r="54">
          <cell r="B54" t="str">
            <v>Encogroup</v>
          </cell>
          <cell r="C54" t="str">
            <v>Ranaanand Kumar</v>
          </cell>
          <cell r="D54">
            <v>140742088</v>
          </cell>
          <cell r="F54" t="str">
            <v>Fitter/Erector</v>
          </cell>
          <cell r="H54" t="str">
            <v>Manpower</v>
          </cell>
        </row>
        <row r="55">
          <cell r="B55" t="str">
            <v>Encogroup</v>
          </cell>
          <cell r="C55" t="str">
            <v>Deepak Kumar</v>
          </cell>
          <cell r="D55">
            <v>140742125</v>
          </cell>
          <cell r="F55" t="str">
            <v>Assistant/Helper</v>
          </cell>
          <cell r="H55" t="str">
            <v>Manpower</v>
          </cell>
        </row>
        <row r="56">
          <cell r="B56" t="str">
            <v>Encogroup</v>
          </cell>
          <cell r="C56" t="str">
            <v>George Zouhair Abi Farah</v>
          </cell>
          <cell r="D56" t="str">
            <v>121820536</v>
          </cell>
          <cell r="F56" t="str">
            <v>Facility Management</v>
          </cell>
          <cell r="H56" t="str">
            <v>Manpower</v>
          </cell>
        </row>
        <row r="57">
          <cell r="B57" t="str">
            <v>Encogroup</v>
          </cell>
          <cell r="C57" t="str">
            <v>Ghulam Qadir Muhammad Yousaf</v>
          </cell>
          <cell r="D57">
            <v>124398279</v>
          </cell>
          <cell r="F57" t="str">
            <v>Permit Receiver</v>
          </cell>
          <cell r="H57" t="str">
            <v>Manpower</v>
          </cell>
        </row>
        <row r="58">
          <cell r="B58" t="str">
            <v>Encogroup</v>
          </cell>
          <cell r="C58" t="str">
            <v>Sujeet Kumar</v>
          </cell>
          <cell r="D58">
            <v>140742177</v>
          </cell>
          <cell r="F58" t="str">
            <v>Grinder</v>
          </cell>
          <cell r="H58" t="str">
            <v>Manpower</v>
          </cell>
        </row>
        <row r="59">
          <cell r="B59" t="str">
            <v>Encogroup</v>
          </cell>
          <cell r="C59" t="str">
            <v>Gurpreet Sing</v>
          </cell>
          <cell r="D59">
            <v>86971535</v>
          </cell>
          <cell r="F59" t="str">
            <v>Crane Operator</v>
          </cell>
          <cell r="H59" t="str">
            <v>Manpower</v>
          </cell>
        </row>
        <row r="60">
          <cell r="B60" t="str">
            <v>Encogroup</v>
          </cell>
          <cell r="C60" t="str">
            <v>Gyenendra Kumar Gupta</v>
          </cell>
          <cell r="D60">
            <v>140809004</v>
          </cell>
          <cell r="F60" t="str">
            <v>Fitter/Erector</v>
          </cell>
          <cell r="H60" t="str">
            <v>Manpower</v>
          </cell>
        </row>
        <row r="61">
          <cell r="B61" t="str">
            <v>Encogroup</v>
          </cell>
          <cell r="C61" t="str">
            <v>Hareendra Shahani</v>
          </cell>
          <cell r="D61" t="str">
            <v>X6330749</v>
          </cell>
          <cell r="F61" t="str">
            <v>Welder</v>
          </cell>
          <cell r="H61" t="str">
            <v>Manpower</v>
          </cell>
        </row>
        <row r="62">
          <cell r="B62" t="str">
            <v>Encogroup</v>
          </cell>
          <cell r="C62" t="str">
            <v>Ibrahim Rashid Mubarak Al-Abri</v>
          </cell>
          <cell r="D62">
            <v>9138415</v>
          </cell>
          <cell r="F62" t="str">
            <v>HIAB Driver</v>
          </cell>
          <cell r="H62" t="str">
            <v>Manpower</v>
          </cell>
        </row>
        <row r="63">
          <cell r="B63" t="str">
            <v>Encogroup</v>
          </cell>
          <cell r="C63" t="str">
            <v>Sajilal Sasidharan</v>
          </cell>
          <cell r="D63">
            <v>103717582</v>
          </cell>
          <cell r="F63" t="str">
            <v>Accountant</v>
          </cell>
          <cell r="H63" t="str">
            <v>Manpower</v>
          </cell>
        </row>
        <row r="64">
          <cell r="B64" t="str">
            <v>Encogroup</v>
          </cell>
          <cell r="C64" t="str">
            <v>Arunbhai Balubhai</v>
          </cell>
          <cell r="D64">
            <v>140764355</v>
          </cell>
          <cell r="F64" t="str">
            <v>Fitter/Erector</v>
          </cell>
          <cell r="H64" t="str">
            <v>Manpower</v>
          </cell>
        </row>
        <row r="65">
          <cell r="B65" t="str">
            <v>Encogroup</v>
          </cell>
          <cell r="C65" t="str">
            <v>Sonu Kumar Pandey</v>
          </cell>
          <cell r="D65">
            <v>140764706</v>
          </cell>
          <cell r="F65" t="str">
            <v>Rigger</v>
          </cell>
          <cell r="H65" t="str">
            <v>Manpower</v>
          </cell>
        </row>
        <row r="66">
          <cell r="B66" t="str">
            <v>Encogroup</v>
          </cell>
          <cell r="C66" t="str">
            <v>Sulthan Humaid Mohammed Humaid Al Nofli</v>
          </cell>
          <cell r="D66">
            <v>19255078</v>
          </cell>
          <cell r="F66" t="str">
            <v>Driver</v>
          </cell>
          <cell r="H66" t="str">
            <v>Manpower</v>
          </cell>
        </row>
        <row r="67">
          <cell r="B67" t="str">
            <v>Encogroup</v>
          </cell>
          <cell r="C67" t="str">
            <v>Mathan Kumar</v>
          </cell>
          <cell r="D67">
            <v>140796986</v>
          </cell>
          <cell r="F67" t="str">
            <v>Mechanical QC</v>
          </cell>
          <cell r="H67" t="str">
            <v>Manpower</v>
          </cell>
        </row>
        <row r="68">
          <cell r="B68" t="str">
            <v>Encogroup</v>
          </cell>
          <cell r="C68" t="str">
            <v>Rejin Rebi</v>
          </cell>
          <cell r="D68">
            <v>140805554</v>
          </cell>
          <cell r="F68" t="str">
            <v>Assistant/Helper</v>
          </cell>
          <cell r="H68" t="str">
            <v>Manpower</v>
          </cell>
        </row>
        <row r="69">
          <cell r="B69" t="str">
            <v>Encogroup</v>
          </cell>
          <cell r="C69" t="str">
            <v>Sajith Saji Kanagam</v>
          </cell>
          <cell r="D69">
            <v>140805568</v>
          </cell>
          <cell r="F69" t="str">
            <v>Assistant/Helper</v>
          </cell>
          <cell r="H69" t="str">
            <v>Manpower</v>
          </cell>
        </row>
        <row r="70">
          <cell r="B70" t="str">
            <v>Encogroup</v>
          </cell>
          <cell r="C70" t="str">
            <v>Imaran Ahamad Taj Mohammad</v>
          </cell>
          <cell r="D70" t="str">
            <v>140954262</v>
          </cell>
          <cell r="F70" t="str">
            <v>Welding Inspector</v>
          </cell>
          <cell r="H70" t="str">
            <v>Manpower</v>
          </cell>
        </row>
        <row r="71">
          <cell r="B71" t="str">
            <v>Encogroup</v>
          </cell>
          <cell r="C71" t="str">
            <v>Shyam Dhani</v>
          </cell>
          <cell r="D71">
            <v>140806218</v>
          </cell>
          <cell r="F71" t="str">
            <v>Fitter/Erector</v>
          </cell>
          <cell r="H71" t="str">
            <v>Manpower</v>
          </cell>
        </row>
        <row r="72">
          <cell r="B72" t="str">
            <v>Encogroup</v>
          </cell>
          <cell r="C72" t="str">
            <v>Irshad Ejas Hussain Shaikh</v>
          </cell>
          <cell r="D72" t="e">
            <v>#N/A</v>
          </cell>
          <cell r="F72" t="str">
            <v>HSE Administrative</v>
          </cell>
          <cell r="H72" t="str">
            <v>Manpower</v>
          </cell>
        </row>
        <row r="73">
          <cell r="B73" t="str">
            <v>Encogroup</v>
          </cell>
          <cell r="C73" t="str">
            <v>Jaison Vijay Menezes</v>
          </cell>
          <cell r="D73" t="str">
            <v>R3971143</v>
          </cell>
          <cell r="F73" t="str">
            <v>Mechanical Foreman</v>
          </cell>
          <cell r="H73" t="str">
            <v>Manpower</v>
          </cell>
        </row>
        <row r="74">
          <cell r="B74" t="str">
            <v>Encogroup</v>
          </cell>
          <cell r="C74" t="str">
            <v>Jean-Luc-Joseph</v>
          </cell>
          <cell r="D74">
            <v>140694441</v>
          </cell>
          <cell r="F74" t="str">
            <v>Welding Engineer</v>
          </cell>
          <cell r="H74" t="str">
            <v>Manpower</v>
          </cell>
        </row>
        <row r="75">
          <cell r="B75" t="str">
            <v>Encogroup</v>
          </cell>
          <cell r="C75" t="str">
            <v>Suman Kumar Mandal</v>
          </cell>
          <cell r="D75">
            <v>116853914</v>
          </cell>
          <cell r="F75" t="str">
            <v>Electrical Supervisor</v>
          </cell>
          <cell r="H75" t="str">
            <v>Manpower</v>
          </cell>
        </row>
        <row r="76">
          <cell r="B76" t="str">
            <v>Encogroup</v>
          </cell>
          <cell r="C76" t="str">
            <v>Jitendra Kumar Yadav</v>
          </cell>
          <cell r="D76" t="str">
            <v>AG111207</v>
          </cell>
          <cell r="F76" t="str">
            <v>Assistant/Helper</v>
          </cell>
          <cell r="H76" t="str">
            <v>Manpower</v>
          </cell>
        </row>
        <row r="77">
          <cell r="B77" t="str">
            <v>Encogroup</v>
          </cell>
          <cell r="C77" t="str">
            <v>Kadir Ansari</v>
          </cell>
          <cell r="D77">
            <v>140844778</v>
          </cell>
          <cell r="F77" t="str">
            <v>Painter</v>
          </cell>
          <cell r="H77" t="str">
            <v>Manpower</v>
          </cell>
        </row>
        <row r="78">
          <cell r="B78" t="str">
            <v>Encogroup</v>
          </cell>
          <cell r="C78" t="str">
            <v>Fadi Al Asmar</v>
          </cell>
          <cell r="D78">
            <v>140841472</v>
          </cell>
          <cell r="F78" t="str">
            <v>Electrical Superintendent</v>
          </cell>
          <cell r="H78" t="str">
            <v>Manpower</v>
          </cell>
        </row>
        <row r="79">
          <cell r="B79" t="str">
            <v>Encogroup</v>
          </cell>
          <cell r="C79" t="str">
            <v>Rajesh Thakur</v>
          </cell>
          <cell r="D79">
            <v>124565057</v>
          </cell>
          <cell r="F79" t="str">
            <v>Fitter/Erector</v>
          </cell>
          <cell r="H79" t="str">
            <v>Manpower</v>
          </cell>
        </row>
        <row r="80">
          <cell r="B80" t="str">
            <v>Encogroup</v>
          </cell>
          <cell r="C80" t="str">
            <v>Amit Gupta</v>
          </cell>
          <cell r="D80">
            <v>140844783</v>
          </cell>
          <cell r="F80" t="str">
            <v>Painter</v>
          </cell>
          <cell r="H80" t="str">
            <v>Manpower</v>
          </cell>
        </row>
        <row r="81">
          <cell r="B81" t="str">
            <v>Encogroup</v>
          </cell>
          <cell r="C81" t="str">
            <v>Lema Kelly</v>
          </cell>
          <cell r="D81">
            <v>141307921</v>
          </cell>
          <cell r="F81" t="str">
            <v>Mechanical Assistant</v>
          </cell>
          <cell r="H81" t="str">
            <v>Manpower</v>
          </cell>
        </row>
        <row r="82">
          <cell r="B82" t="str">
            <v>Encogroup</v>
          </cell>
          <cell r="C82" t="str">
            <v>Dharmvir Upadhyay</v>
          </cell>
          <cell r="D82">
            <v>140844797</v>
          </cell>
          <cell r="F82" t="str">
            <v>Fitter/Erector</v>
          </cell>
          <cell r="H82" t="str">
            <v>Manpower</v>
          </cell>
        </row>
        <row r="83">
          <cell r="B83" t="str">
            <v>Encogroup</v>
          </cell>
          <cell r="C83" t="str">
            <v>Priyaranjan Kumar</v>
          </cell>
          <cell r="D83">
            <v>140844848</v>
          </cell>
          <cell r="F83" t="str">
            <v>Assistant/Helper</v>
          </cell>
          <cell r="H83" t="str">
            <v>Manpower</v>
          </cell>
        </row>
        <row r="84">
          <cell r="B84" t="str">
            <v>Encogroup</v>
          </cell>
          <cell r="C84" t="str">
            <v>Jitu Kumar</v>
          </cell>
          <cell r="D84">
            <v>140844759</v>
          </cell>
          <cell r="F84" t="str">
            <v>Welder</v>
          </cell>
          <cell r="H84" t="str">
            <v>Manpower</v>
          </cell>
        </row>
        <row r="85">
          <cell r="B85" t="str">
            <v>Encogroup</v>
          </cell>
          <cell r="C85" t="str">
            <v>Verendra Kumar Hari Lal</v>
          </cell>
          <cell r="D85">
            <v>140844618</v>
          </cell>
          <cell r="F85" t="str">
            <v>Assistant/Helper</v>
          </cell>
          <cell r="H85" t="str">
            <v>Manpower</v>
          </cell>
        </row>
        <row r="86">
          <cell r="B86" t="str">
            <v>Encogroup</v>
          </cell>
          <cell r="C86" t="str">
            <v>Pravesh Kumar</v>
          </cell>
          <cell r="D86">
            <v>140844572</v>
          </cell>
          <cell r="F86" t="str">
            <v>Assistant/Helper</v>
          </cell>
          <cell r="H86" t="str">
            <v>Manpower</v>
          </cell>
        </row>
        <row r="87">
          <cell r="B87" t="str">
            <v>Encogroup</v>
          </cell>
          <cell r="C87" t="str">
            <v>Neeraj Gautham</v>
          </cell>
          <cell r="D87">
            <v>140844586</v>
          </cell>
          <cell r="F87" t="str">
            <v>Assistant/Helper</v>
          </cell>
          <cell r="H87" t="str">
            <v>Manpower</v>
          </cell>
        </row>
        <row r="88">
          <cell r="B88" t="str">
            <v>Encogroup</v>
          </cell>
          <cell r="C88" t="str">
            <v>Mahmoud Khodr Hassan</v>
          </cell>
          <cell r="D88">
            <v>140623599</v>
          </cell>
          <cell r="F88" t="str">
            <v>Mechanical Supervisor</v>
          </cell>
          <cell r="H88" t="str">
            <v>Manpower</v>
          </cell>
        </row>
        <row r="89">
          <cell r="B89" t="str">
            <v>Encogroup</v>
          </cell>
          <cell r="C89" t="str">
            <v>Mahmoud Mohamad Moussa</v>
          </cell>
          <cell r="D89">
            <v>116858297</v>
          </cell>
          <cell r="F89" t="str">
            <v>Mechanical Superintendent</v>
          </cell>
          <cell r="H89" t="str">
            <v>Manpower</v>
          </cell>
        </row>
        <row r="90">
          <cell r="B90" t="str">
            <v>Encogroup</v>
          </cell>
          <cell r="C90" t="str">
            <v>Md Rashed Mohmed</v>
          </cell>
          <cell r="D90">
            <v>140663253</v>
          </cell>
          <cell r="F90" t="str">
            <v>Painting Inspector</v>
          </cell>
          <cell r="H90" t="str">
            <v>Manpower</v>
          </cell>
        </row>
        <row r="91">
          <cell r="B91" t="str">
            <v>Encogroup</v>
          </cell>
          <cell r="C91" t="str">
            <v>Surajit Maity</v>
          </cell>
          <cell r="D91">
            <v>140846684</v>
          </cell>
          <cell r="F91" t="str">
            <v>Assistant/Helper</v>
          </cell>
          <cell r="H91" t="str">
            <v>Manpower</v>
          </cell>
        </row>
        <row r="92">
          <cell r="B92" t="str">
            <v>BG</v>
          </cell>
          <cell r="C92" t="str">
            <v>MD Rizwan</v>
          </cell>
          <cell r="D92" t="e">
            <v>#N/A</v>
          </cell>
          <cell r="F92" t="str">
            <v>Driver</v>
          </cell>
          <cell r="H92" t="str">
            <v>Manpower</v>
          </cell>
        </row>
        <row r="93">
          <cell r="B93" t="str">
            <v>Encogroup</v>
          </cell>
          <cell r="C93" t="str">
            <v>Kamal Kumar Sharma</v>
          </cell>
          <cell r="D93">
            <v>140848828</v>
          </cell>
          <cell r="F93" t="str">
            <v>Pipe Fitter</v>
          </cell>
          <cell r="H93" t="str">
            <v>Manpower</v>
          </cell>
        </row>
        <row r="94">
          <cell r="B94" t="str">
            <v>Encogroup</v>
          </cell>
          <cell r="C94" t="str">
            <v>Arunkumar Surendran</v>
          </cell>
          <cell r="D94">
            <v>127859069</v>
          </cell>
          <cell r="F94" t="str">
            <v>QC Mechanical Engineer</v>
          </cell>
          <cell r="H94" t="str">
            <v>Manpower</v>
          </cell>
        </row>
        <row r="95">
          <cell r="B95" t="str">
            <v>Encogroup</v>
          </cell>
          <cell r="C95" t="str">
            <v>Mohamed Irfan</v>
          </cell>
          <cell r="D95">
            <v>121937785</v>
          </cell>
          <cell r="F95" t="str">
            <v>Scaffolding Inspector</v>
          </cell>
          <cell r="H95" t="str">
            <v>Manpower</v>
          </cell>
        </row>
        <row r="96">
          <cell r="B96" t="str">
            <v>Encogroup</v>
          </cell>
          <cell r="C96" t="str">
            <v>Sathishkumar Kasthurisamy</v>
          </cell>
          <cell r="D96">
            <v>140859482</v>
          </cell>
          <cell r="F96" t="str">
            <v>Draftsman Engineer</v>
          </cell>
          <cell r="H96" t="str">
            <v>Manpower</v>
          </cell>
        </row>
        <row r="97">
          <cell r="B97" t="str">
            <v>Al Jaber Heavy Lift</v>
          </cell>
          <cell r="C97" t="str">
            <v>Mohammad Ismail</v>
          </cell>
          <cell r="D97">
            <v>116448869</v>
          </cell>
          <cell r="F97" t="str">
            <v xml:space="preserve">Crane Operator </v>
          </cell>
          <cell r="H97" t="str">
            <v>Manpower</v>
          </cell>
        </row>
        <row r="98">
          <cell r="B98" t="str">
            <v>Al Jaber Heavy Lift</v>
          </cell>
          <cell r="C98" t="str">
            <v>Mohammed Attiq</v>
          </cell>
          <cell r="D98">
            <v>113787454</v>
          </cell>
          <cell r="F98" t="str">
            <v>Crane Operator- 70T Crawler Crane- 02</v>
          </cell>
          <cell r="H98" t="str">
            <v>Manpower</v>
          </cell>
        </row>
        <row r="99">
          <cell r="B99" t="str">
            <v>Encogroup</v>
          </cell>
          <cell r="C99" t="str">
            <v>Tamoor Ali Khan</v>
          </cell>
          <cell r="D99">
            <v>135325259</v>
          </cell>
          <cell r="F99" t="str">
            <v>Permit Receiver</v>
          </cell>
          <cell r="H99" t="str">
            <v>Manpower</v>
          </cell>
        </row>
        <row r="100">
          <cell r="B100" t="str">
            <v>Encogroup</v>
          </cell>
          <cell r="C100" t="str">
            <v>Mohammad Shoaib Akhtar</v>
          </cell>
          <cell r="D100">
            <v>136277866</v>
          </cell>
          <cell r="F100" t="str">
            <v>Permit Receiver</v>
          </cell>
          <cell r="H100" t="str">
            <v>Manpower</v>
          </cell>
        </row>
        <row r="101">
          <cell r="B101" t="str">
            <v>Encogroup</v>
          </cell>
          <cell r="C101" t="str">
            <v>Ibrahim Karam Ali Al Balushi</v>
          </cell>
          <cell r="D101">
            <v>15485532</v>
          </cell>
          <cell r="F101" t="str">
            <v>Driver</v>
          </cell>
          <cell r="H101" t="str">
            <v>Manpower</v>
          </cell>
        </row>
        <row r="102">
          <cell r="B102" t="str">
            <v>SARENS NASS</v>
          </cell>
          <cell r="C102" t="str">
            <v>Moshin Saleem Salim AL-Shukaili</v>
          </cell>
          <cell r="D102">
            <v>14552941</v>
          </cell>
          <cell r="F102" t="str">
            <v>Crane Operator- 70T Hitachi Crawler crane</v>
          </cell>
          <cell r="H102" t="str">
            <v>Manpower</v>
          </cell>
        </row>
        <row r="103">
          <cell r="B103" t="str">
            <v>Encogroup</v>
          </cell>
          <cell r="C103" t="str">
            <v>Alla Said Abdallah Al Jabri</v>
          </cell>
          <cell r="D103">
            <v>12441043</v>
          </cell>
          <cell r="F103" t="str">
            <v>IT Engineer</v>
          </cell>
          <cell r="H103" t="str">
            <v>Manpower</v>
          </cell>
        </row>
        <row r="104">
          <cell r="B104" t="str">
            <v>Encogroup</v>
          </cell>
          <cell r="C104" t="str">
            <v>Ahmed Khadeem Said Al Tourashi</v>
          </cell>
          <cell r="D104">
            <v>19753414</v>
          </cell>
          <cell r="F104" t="str">
            <v>Bus Driver</v>
          </cell>
          <cell r="H104" t="str">
            <v>Manpower</v>
          </cell>
        </row>
        <row r="105">
          <cell r="B105" t="str">
            <v>Encogroup</v>
          </cell>
          <cell r="C105" t="str">
            <v>Nasr Nasser Said Masoud Al Nofli</v>
          </cell>
          <cell r="D105">
            <v>19110768</v>
          </cell>
          <cell r="F105" t="str">
            <v>Driver</v>
          </cell>
          <cell r="H105" t="str">
            <v>Manpower</v>
          </cell>
        </row>
        <row r="106">
          <cell r="B106" t="str">
            <v>Encogroup</v>
          </cell>
          <cell r="C106" t="str">
            <v>Samar Habib</v>
          </cell>
          <cell r="D106">
            <v>141246094</v>
          </cell>
          <cell r="F106" t="str">
            <v>Mechanical Engineer</v>
          </cell>
          <cell r="H106" t="str">
            <v>Manpower</v>
          </cell>
        </row>
        <row r="107">
          <cell r="B107" t="str">
            <v>Encogroup</v>
          </cell>
          <cell r="C107" t="str">
            <v>Amran Hamood Marhoon Al-Hashemi</v>
          </cell>
          <cell r="D107">
            <v>10612625</v>
          </cell>
          <cell r="F107" t="str">
            <v>Junior HSE Officer</v>
          </cell>
          <cell r="H107" t="str">
            <v>Manpower</v>
          </cell>
        </row>
        <row r="108">
          <cell r="B108" t="str">
            <v>Encogroup</v>
          </cell>
          <cell r="C108" t="str">
            <v>Md Siddiqur Rahaman Md Ramizuddin</v>
          </cell>
          <cell r="D108">
            <v>123805496</v>
          </cell>
          <cell r="F108" t="str">
            <v>Fitter/Erector</v>
          </cell>
          <cell r="H108" t="str">
            <v>Manpower</v>
          </cell>
        </row>
        <row r="109">
          <cell r="B109" t="str">
            <v>AL Omar International TRAD AND CONT</v>
          </cell>
          <cell r="C109" t="str">
            <v>Md Tarek Hossain</v>
          </cell>
          <cell r="D109">
            <v>114929202</v>
          </cell>
          <cell r="F109" t="str">
            <v>RIgger</v>
          </cell>
          <cell r="H109" t="str">
            <v>Sub Contactor</v>
          </cell>
        </row>
        <row r="110">
          <cell r="B110" t="str">
            <v>AL Omar International TRAD AND CONT</v>
          </cell>
          <cell r="C110" t="str">
            <v>Omar Faruk Sarafat Ali</v>
          </cell>
          <cell r="D110">
            <v>106093463</v>
          </cell>
          <cell r="F110" t="str">
            <v>RIgger</v>
          </cell>
          <cell r="H110" t="str">
            <v>Sub Contactor</v>
          </cell>
        </row>
        <row r="111">
          <cell r="B111" t="str">
            <v>AL Omar International TRAD AND CONT</v>
          </cell>
          <cell r="C111" t="str">
            <v>Md Hasan Howlader</v>
          </cell>
          <cell r="D111">
            <v>115018512</v>
          </cell>
          <cell r="F111" t="str">
            <v>RIgger</v>
          </cell>
          <cell r="H111" t="str">
            <v>Sub Contactor</v>
          </cell>
        </row>
        <row r="112">
          <cell r="B112" t="str">
            <v>Encogroup</v>
          </cell>
          <cell r="C112" t="str">
            <v>Motaseem Kariem</v>
          </cell>
          <cell r="D112" t="e">
            <v>#N/A</v>
          </cell>
          <cell r="F112" t="str">
            <v>Welding Foreman</v>
          </cell>
          <cell r="H112" t="str">
            <v>Manpower</v>
          </cell>
        </row>
        <row r="113">
          <cell r="B113" t="str">
            <v>Encogroup</v>
          </cell>
          <cell r="C113" t="str">
            <v>Muhammad Zeeshan</v>
          </cell>
          <cell r="D113" t="str">
            <v>125440626</v>
          </cell>
          <cell r="F113" t="str">
            <v>Fitter/Erector</v>
          </cell>
          <cell r="H113" t="str">
            <v>Manpower</v>
          </cell>
        </row>
        <row r="114">
          <cell r="B114" t="str">
            <v>Encogroup</v>
          </cell>
          <cell r="C114" t="str">
            <v>Muhammed Ramzan</v>
          </cell>
          <cell r="D114" t="str">
            <v>122179642</v>
          </cell>
          <cell r="F114" t="str">
            <v>Grinder</v>
          </cell>
          <cell r="H114" t="str">
            <v>Manpower</v>
          </cell>
        </row>
        <row r="115">
          <cell r="B115" t="str">
            <v>Encogroup</v>
          </cell>
          <cell r="C115" t="str">
            <v>Ajithkumar Aravindakshanpillai</v>
          </cell>
          <cell r="D115">
            <v>140693697</v>
          </cell>
          <cell r="F115" t="str">
            <v>HSE Officer</v>
          </cell>
          <cell r="H115" t="str">
            <v>Manpower</v>
          </cell>
        </row>
        <row r="116">
          <cell r="B116" t="str">
            <v>Encogroup</v>
          </cell>
          <cell r="C116" t="str">
            <v>Rogie Jr Mabilog</v>
          </cell>
          <cell r="D116">
            <v>141169071</v>
          </cell>
          <cell r="F116" t="str">
            <v>Welding Supervisor</v>
          </cell>
          <cell r="H116" t="str">
            <v>Manpower</v>
          </cell>
        </row>
        <row r="117">
          <cell r="B117" t="str">
            <v>Encogroup</v>
          </cell>
          <cell r="C117" t="str">
            <v>Daniel Jr Mosiquira</v>
          </cell>
          <cell r="D117">
            <v>141169047</v>
          </cell>
          <cell r="F117" t="str">
            <v>Welder</v>
          </cell>
          <cell r="H117" t="str">
            <v>Manpower</v>
          </cell>
        </row>
        <row r="118">
          <cell r="B118" t="str">
            <v>Encogroup</v>
          </cell>
          <cell r="C118" t="str">
            <v>Reymond Cruz</v>
          </cell>
          <cell r="D118">
            <v>141169033</v>
          </cell>
          <cell r="F118" t="str">
            <v>Welder</v>
          </cell>
          <cell r="H118" t="str">
            <v>Manpower</v>
          </cell>
        </row>
        <row r="119">
          <cell r="B119" t="str">
            <v>Encogroup</v>
          </cell>
          <cell r="C119" t="str">
            <v>Ryan Batuto</v>
          </cell>
          <cell r="D119">
            <v>141169028</v>
          </cell>
          <cell r="F119" t="str">
            <v>Welder</v>
          </cell>
          <cell r="H119" t="str">
            <v>Manpower</v>
          </cell>
        </row>
        <row r="120">
          <cell r="B120" t="str">
            <v>Encogroup</v>
          </cell>
          <cell r="C120" t="str">
            <v>Erick Atienza</v>
          </cell>
          <cell r="D120">
            <v>141169052</v>
          </cell>
          <cell r="F120" t="str">
            <v>Welder</v>
          </cell>
          <cell r="H120" t="str">
            <v>Manpower</v>
          </cell>
        </row>
        <row r="121">
          <cell r="B121" t="str">
            <v>Encogroup</v>
          </cell>
          <cell r="C121" t="str">
            <v>Clyde Abrazaldo</v>
          </cell>
          <cell r="D121">
            <v>141169085</v>
          </cell>
          <cell r="F121" t="str">
            <v>Welder</v>
          </cell>
          <cell r="H121" t="str">
            <v>Manpower</v>
          </cell>
        </row>
        <row r="122">
          <cell r="B122" t="str">
            <v>Encogroup</v>
          </cell>
          <cell r="C122" t="str">
            <v>Prathip Sundaram</v>
          </cell>
          <cell r="D122">
            <v>140995321</v>
          </cell>
          <cell r="F122" t="str">
            <v>Scheduling Engineer</v>
          </cell>
          <cell r="H122" t="str">
            <v>Manpower</v>
          </cell>
        </row>
        <row r="123">
          <cell r="B123" t="str">
            <v>Encogroup</v>
          </cell>
          <cell r="C123" t="str">
            <v>Mustafa Moosa Ahned Al Balushi</v>
          </cell>
          <cell r="D123">
            <v>18114443</v>
          </cell>
          <cell r="F123" t="str">
            <v>Driver</v>
          </cell>
          <cell r="H123" t="str">
            <v>Manpower</v>
          </cell>
        </row>
        <row r="124">
          <cell r="B124" t="str">
            <v>Encogroup</v>
          </cell>
          <cell r="C124" t="str">
            <v>Omaima Sultan Saif Al- Busaidi</v>
          </cell>
          <cell r="D124">
            <v>12825038</v>
          </cell>
          <cell r="F124" t="str">
            <v>Admin Assistant</v>
          </cell>
          <cell r="H124" t="str">
            <v>Manpower</v>
          </cell>
        </row>
        <row r="125">
          <cell r="B125" t="str">
            <v>Encogroup</v>
          </cell>
          <cell r="C125" t="str">
            <v>Othman Mohammed Najman Al Zadjali</v>
          </cell>
          <cell r="D125" t="e">
            <v>#N/A</v>
          </cell>
          <cell r="F125" t="str">
            <v>Trailer Driver</v>
          </cell>
          <cell r="H125" t="str">
            <v>Manpower</v>
          </cell>
        </row>
        <row r="126">
          <cell r="B126" t="str">
            <v>Encogroup</v>
          </cell>
          <cell r="C126" t="str">
            <v>Pinto Kuriakose</v>
          </cell>
          <cell r="D126">
            <v>132423982</v>
          </cell>
          <cell r="F126" t="str">
            <v>Mechanic Supervisor</v>
          </cell>
          <cell r="H126" t="str">
            <v>Manpower</v>
          </cell>
        </row>
        <row r="127">
          <cell r="B127" t="str">
            <v>AL Saif &amp; Al QALLM ENT LLC</v>
          </cell>
          <cell r="C127" t="str">
            <v>Shoib Akhtar</v>
          </cell>
          <cell r="D127">
            <v>135762195</v>
          </cell>
          <cell r="F127" t="str">
            <v>HSE Officer</v>
          </cell>
          <cell r="H127" t="str">
            <v>Sub Contactor</v>
          </cell>
        </row>
        <row r="128">
          <cell r="B128" t="str">
            <v>Encogroup</v>
          </cell>
          <cell r="C128" t="str">
            <v>Prasad Vadakkedath Me Ramankutty</v>
          </cell>
          <cell r="D128">
            <v>83070339</v>
          </cell>
          <cell r="F128" t="str">
            <v>HSE Engineer</v>
          </cell>
          <cell r="H128" t="str">
            <v>Manpower</v>
          </cell>
        </row>
        <row r="129">
          <cell r="B129" t="str">
            <v>Rabwu Ahamal AL Khaleej Trad</v>
          </cell>
          <cell r="C129" t="str">
            <v>Saqib Ali</v>
          </cell>
          <cell r="D129">
            <v>131431131</v>
          </cell>
          <cell r="F129" t="str">
            <v>RIgger</v>
          </cell>
          <cell r="H129" t="str">
            <v>Sub Contactor</v>
          </cell>
        </row>
        <row r="130">
          <cell r="B130" t="str">
            <v>Encogroup</v>
          </cell>
          <cell r="C130" t="str">
            <v>Akhilesh Kumar</v>
          </cell>
          <cell r="D130">
            <v>141359235</v>
          </cell>
          <cell r="F130" t="str">
            <v>Fitter</v>
          </cell>
          <cell r="H130" t="str">
            <v>Manpower</v>
          </cell>
        </row>
        <row r="131">
          <cell r="B131" t="str">
            <v>Encogroup</v>
          </cell>
          <cell r="C131" t="str">
            <v>Prabin Brnnet Rani</v>
          </cell>
          <cell r="D131">
            <v>140805592</v>
          </cell>
          <cell r="F131" t="str">
            <v>Assistant/Helper</v>
          </cell>
          <cell r="H131" t="str">
            <v>Manpower</v>
          </cell>
        </row>
        <row r="132">
          <cell r="B132" t="str">
            <v>Encogroup</v>
          </cell>
          <cell r="C132" t="str">
            <v>Pradeep Pandey</v>
          </cell>
          <cell r="D132" t="str">
            <v>122274652</v>
          </cell>
          <cell r="F132" t="str">
            <v>Welder</v>
          </cell>
          <cell r="H132" t="str">
            <v>Manpower</v>
          </cell>
        </row>
        <row r="133">
          <cell r="B133" t="str">
            <v>AL Omar International TRAD AND CONT</v>
          </cell>
          <cell r="C133" t="str">
            <v>Mohammed Rokan Mia</v>
          </cell>
          <cell r="D133">
            <v>105813698</v>
          </cell>
          <cell r="F133" t="str">
            <v>Scaffolding Inspector</v>
          </cell>
          <cell r="H133" t="str">
            <v>Sub Contactor</v>
          </cell>
        </row>
        <row r="134">
          <cell r="B134" t="str">
            <v>Encogroup</v>
          </cell>
          <cell r="C134" t="str">
            <v>Praful Kumar Rai</v>
          </cell>
          <cell r="D134" t="str">
            <v>117020738</v>
          </cell>
          <cell r="F134" t="str">
            <v>Fitter/Erector</v>
          </cell>
          <cell r="H134" t="str">
            <v>Manpower</v>
          </cell>
        </row>
        <row r="135">
          <cell r="B135" t="str">
            <v>AL Saif &amp; Al QALLM ENT LLC</v>
          </cell>
          <cell r="C135" t="str">
            <v>MD Ayub Ali</v>
          </cell>
          <cell r="D135">
            <v>108478006</v>
          </cell>
          <cell r="F135" t="str">
            <v>RIgger</v>
          </cell>
          <cell r="H135" t="str">
            <v>Sub Contactor</v>
          </cell>
        </row>
        <row r="136">
          <cell r="B136" t="str">
            <v>Encogroup</v>
          </cell>
          <cell r="C136" t="str">
            <v>Praveen Singh</v>
          </cell>
          <cell r="D136" t="str">
            <v>122015438</v>
          </cell>
          <cell r="F136" t="str">
            <v>Erector/Manlift Operator</v>
          </cell>
          <cell r="H136" t="str">
            <v>Manpower</v>
          </cell>
        </row>
        <row r="137">
          <cell r="B137" t="str">
            <v>Encogroup</v>
          </cell>
          <cell r="C137" t="str">
            <v>Rabih Rifai</v>
          </cell>
          <cell r="D137">
            <v>116915582</v>
          </cell>
          <cell r="F137" t="str">
            <v>Mechanical Superintendent</v>
          </cell>
          <cell r="H137" t="str">
            <v>Manpower</v>
          </cell>
        </row>
        <row r="138">
          <cell r="B138" t="str">
            <v>Encogroup</v>
          </cell>
          <cell r="C138" t="str">
            <v>Shawaj Alam</v>
          </cell>
          <cell r="D138">
            <v>141179467</v>
          </cell>
          <cell r="F138" t="str">
            <v>Crane Operator</v>
          </cell>
          <cell r="H138" t="str">
            <v>Manpower</v>
          </cell>
        </row>
        <row r="139">
          <cell r="B139" t="str">
            <v>AL Omar International TRAD AND CONT</v>
          </cell>
          <cell r="C139" t="str">
            <v>Mohammed Gias Uddin</v>
          </cell>
          <cell r="D139">
            <v>96409155</v>
          </cell>
          <cell r="F139" t="str">
            <v>Scaffolder</v>
          </cell>
          <cell r="H139" t="str">
            <v>Sub Contactor</v>
          </cell>
        </row>
        <row r="140">
          <cell r="B140" t="str">
            <v>AL Saif &amp; Al QALLM ENT LLC</v>
          </cell>
          <cell r="C140" t="str">
            <v>Sakhawat Hussain Muhammad Hussain</v>
          </cell>
          <cell r="D140">
            <v>76647648</v>
          </cell>
          <cell r="F140" t="str">
            <v>RIgger</v>
          </cell>
          <cell r="H140" t="str">
            <v>Sub Contactor</v>
          </cell>
        </row>
        <row r="141">
          <cell r="B141" t="str">
            <v>Encogroup</v>
          </cell>
          <cell r="C141" t="str">
            <v>Mazin Abdullah Ali Al -Aisaee</v>
          </cell>
          <cell r="D141">
            <v>8125926</v>
          </cell>
          <cell r="F141" t="str">
            <v>Driver</v>
          </cell>
          <cell r="H141" t="str">
            <v>Manpower</v>
          </cell>
        </row>
        <row r="142">
          <cell r="B142" t="str">
            <v>AL Omar International TRAD AND CONT</v>
          </cell>
          <cell r="C142" t="str">
            <v>Ripon Tofayel Ahmmad</v>
          </cell>
          <cell r="D142">
            <v>116676257</v>
          </cell>
          <cell r="F142" t="str">
            <v>Scaffolder</v>
          </cell>
          <cell r="H142" t="str">
            <v>Sub Contactor</v>
          </cell>
        </row>
        <row r="143">
          <cell r="B143" t="str">
            <v>AL Saif &amp; Al QALLM ENT LLC</v>
          </cell>
          <cell r="C143" t="str">
            <v>Muhammed Rafi</v>
          </cell>
          <cell r="D143">
            <v>135340657</v>
          </cell>
          <cell r="F143" t="str">
            <v>Forklift Operator</v>
          </cell>
          <cell r="H143" t="str">
            <v>Sub Contactor</v>
          </cell>
        </row>
        <row r="144">
          <cell r="B144" t="str">
            <v>AL Omar International TRAD AND CONT</v>
          </cell>
          <cell r="C144" t="str">
            <v>Arifur Rahman</v>
          </cell>
          <cell r="D144">
            <v>115731078</v>
          </cell>
          <cell r="F144" t="str">
            <v>Scaffolder</v>
          </cell>
          <cell r="H144" t="str">
            <v>Sub Contactor</v>
          </cell>
        </row>
        <row r="145">
          <cell r="B145" t="str">
            <v>Encogroup</v>
          </cell>
          <cell r="C145" t="str">
            <v>Senthil Vel Sekar</v>
          </cell>
          <cell r="D145">
            <v>141228922</v>
          </cell>
          <cell r="F145" t="str">
            <v>Document controller</v>
          </cell>
          <cell r="H145" t="str">
            <v>Manpower</v>
          </cell>
        </row>
        <row r="146">
          <cell r="B146" t="str">
            <v>Encogroup</v>
          </cell>
          <cell r="C146" t="str">
            <v>Tamilselvan Tamilmani</v>
          </cell>
          <cell r="D146">
            <v>141250908</v>
          </cell>
          <cell r="F146" t="str">
            <v>Mechanical Engineer</v>
          </cell>
          <cell r="H146" t="str">
            <v>Manpower</v>
          </cell>
        </row>
        <row r="147">
          <cell r="B147" t="str">
            <v>Encogroup</v>
          </cell>
          <cell r="C147" t="str">
            <v>Aneesh Joseph</v>
          </cell>
          <cell r="D147">
            <v>141253376</v>
          </cell>
          <cell r="F147" t="str">
            <v>Store Keeper</v>
          </cell>
          <cell r="H147" t="str">
            <v>Manpower</v>
          </cell>
        </row>
        <row r="148">
          <cell r="B148" t="str">
            <v>AL Omar International TRAD AND CONT</v>
          </cell>
          <cell r="C148" t="str">
            <v>Mohammad Shahadat Hossain Sikdar</v>
          </cell>
          <cell r="D148">
            <v>95335424</v>
          </cell>
          <cell r="F148" t="str">
            <v>Scaffolder</v>
          </cell>
          <cell r="H148" t="str">
            <v>Sub Contactor</v>
          </cell>
        </row>
        <row r="149">
          <cell r="B149" t="str">
            <v>Encogroup</v>
          </cell>
          <cell r="C149" t="str">
            <v>Ibrahim Karime</v>
          </cell>
          <cell r="D149">
            <v>71257815</v>
          </cell>
          <cell r="F149" t="str">
            <v>Logistics Supervisor</v>
          </cell>
          <cell r="H149" t="str">
            <v>Manpower</v>
          </cell>
        </row>
        <row r="150">
          <cell r="B150" t="str">
            <v>BUSHRA</v>
          </cell>
          <cell r="C150" t="str">
            <v>Rashid</v>
          </cell>
          <cell r="D150" t="e">
            <v>#N/A</v>
          </cell>
          <cell r="F150" t="str">
            <v>Diesel Re-fueling team</v>
          </cell>
          <cell r="H150" t="str">
            <v>Manpower</v>
          </cell>
        </row>
        <row r="151">
          <cell r="B151" t="str">
            <v>Encogroup</v>
          </cell>
          <cell r="C151" t="str">
            <v>Raya Salim Khamis Said Al Junaibi</v>
          </cell>
          <cell r="D151">
            <v>14915995</v>
          </cell>
          <cell r="F151" t="str">
            <v>Admin Coordinator</v>
          </cell>
          <cell r="H151" t="str">
            <v>Manpower</v>
          </cell>
        </row>
        <row r="152">
          <cell r="B152" t="str">
            <v>Encogroup</v>
          </cell>
          <cell r="C152" t="str">
            <v>Ahmad Kerbaj</v>
          </cell>
          <cell r="D152">
            <v>132915855</v>
          </cell>
          <cell r="F152" t="str">
            <v>Mechanical Supervisor</v>
          </cell>
          <cell r="H152" t="str">
            <v>Manpower</v>
          </cell>
        </row>
        <row r="153">
          <cell r="B153" t="str">
            <v>Encogroup</v>
          </cell>
          <cell r="C153" t="str">
            <v>Ebin Ben</v>
          </cell>
          <cell r="D153">
            <v>116589569</v>
          </cell>
          <cell r="F153" t="str">
            <v>Mechanical Engineer</v>
          </cell>
          <cell r="H153" t="str">
            <v>Manpower</v>
          </cell>
        </row>
        <row r="154">
          <cell r="B154" t="str">
            <v>Encogroup</v>
          </cell>
          <cell r="C154" t="str">
            <v>Rijo Pappachan Thankachan</v>
          </cell>
          <cell r="D154">
            <v>140477664</v>
          </cell>
          <cell r="F154" t="str">
            <v>Junior HSE Officer</v>
          </cell>
          <cell r="H154" t="str">
            <v>Manpower</v>
          </cell>
        </row>
        <row r="155">
          <cell r="B155" t="str">
            <v>Encogroup</v>
          </cell>
          <cell r="C155" t="str">
            <v>Duncan Lee Kelly</v>
          </cell>
          <cell r="D155">
            <v>141307968</v>
          </cell>
          <cell r="F155" t="str">
            <v>Mechanical Supervisor</v>
          </cell>
          <cell r="H155" t="str">
            <v>Manpower</v>
          </cell>
        </row>
        <row r="156">
          <cell r="B156" t="str">
            <v>Encogroup</v>
          </cell>
          <cell r="C156" t="str">
            <v>Rodie Jabber</v>
          </cell>
          <cell r="D156">
            <v>141505123</v>
          </cell>
          <cell r="F156" t="str">
            <v>Mechanical Engineer</v>
          </cell>
          <cell r="H156" t="str">
            <v>Manpower</v>
          </cell>
        </row>
        <row r="157">
          <cell r="B157" t="str">
            <v>Encogroup</v>
          </cell>
          <cell r="C157" t="str">
            <v>Khundrakpam Shyamsan Singh</v>
          </cell>
          <cell r="D157">
            <v>99596058</v>
          </cell>
          <cell r="F157" t="str">
            <v>HSE Officer</v>
          </cell>
          <cell r="H157" t="str">
            <v>Manpower</v>
          </cell>
        </row>
        <row r="158">
          <cell r="B158" t="str">
            <v>Encogroup</v>
          </cell>
          <cell r="C158" t="str">
            <v>Sreejith Thekkedath Sivaraman</v>
          </cell>
          <cell r="D158">
            <v>141322471</v>
          </cell>
          <cell r="F158" t="str">
            <v>Welding Inspector</v>
          </cell>
          <cell r="H158" t="str">
            <v>Manpower</v>
          </cell>
        </row>
        <row r="159">
          <cell r="B159" t="str">
            <v>Encogroup</v>
          </cell>
          <cell r="C159" t="str">
            <v>Amal Kannoor Ramachandran</v>
          </cell>
          <cell r="D159">
            <v>141322485</v>
          </cell>
          <cell r="F159" t="str">
            <v>Electrical Engineer</v>
          </cell>
          <cell r="H159" t="str">
            <v>Manpower</v>
          </cell>
        </row>
        <row r="160">
          <cell r="B160" t="str">
            <v>AL Omar International TRAD AND CONT</v>
          </cell>
          <cell r="C160" t="str">
            <v>Mohammad Alam</v>
          </cell>
          <cell r="D160" t="str">
            <v>85813175</v>
          </cell>
          <cell r="F160" t="str">
            <v>Scaffolding Supervisor</v>
          </cell>
          <cell r="H160" t="str">
            <v>Sub Contactor</v>
          </cell>
        </row>
        <row r="161">
          <cell r="B161" t="str">
            <v>Encogroup</v>
          </cell>
          <cell r="C161" t="str">
            <v>Manikandaraj Muthaia</v>
          </cell>
          <cell r="D161">
            <v>99112308</v>
          </cell>
          <cell r="F161" t="str">
            <v>HR Manager</v>
          </cell>
          <cell r="H161" t="str">
            <v>Manpower</v>
          </cell>
        </row>
        <row r="162">
          <cell r="B162" t="str">
            <v>Encogroup</v>
          </cell>
          <cell r="C162" t="str">
            <v>Mahmoud Moussa</v>
          </cell>
          <cell r="D162">
            <v>141358988</v>
          </cell>
          <cell r="F162" t="str">
            <v>Hydraulic Mechanic</v>
          </cell>
          <cell r="H162" t="str">
            <v>Manpower</v>
          </cell>
        </row>
        <row r="163">
          <cell r="B163" t="str">
            <v>Encogroup</v>
          </cell>
          <cell r="C163" t="str">
            <v>Hadi Moussa</v>
          </cell>
          <cell r="D163">
            <v>141358993</v>
          </cell>
          <cell r="F163" t="str">
            <v>Fitter</v>
          </cell>
          <cell r="H163" t="str">
            <v>Manpower</v>
          </cell>
        </row>
        <row r="164">
          <cell r="B164" t="str">
            <v>Encogroup</v>
          </cell>
          <cell r="C164" t="str">
            <v>Ismail Moussa</v>
          </cell>
          <cell r="D164">
            <v>141359024</v>
          </cell>
          <cell r="F164" t="str">
            <v>Hydraulic Mechanic</v>
          </cell>
          <cell r="H164" t="str">
            <v>Manpower</v>
          </cell>
        </row>
        <row r="165">
          <cell r="B165" t="str">
            <v>Encogroup</v>
          </cell>
          <cell r="C165" t="str">
            <v>Akhilesh Kumar</v>
          </cell>
          <cell r="D165">
            <v>141359235</v>
          </cell>
          <cell r="F165" t="str">
            <v>Welder</v>
          </cell>
          <cell r="H165" t="str">
            <v>Manpower</v>
          </cell>
        </row>
        <row r="166">
          <cell r="B166" t="str">
            <v>Encogroup</v>
          </cell>
          <cell r="C166" t="str">
            <v>Rajeev Kumar Sah</v>
          </cell>
          <cell r="D166">
            <v>141359216</v>
          </cell>
          <cell r="F166" t="str">
            <v>Electrician</v>
          </cell>
          <cell r="H166" t="str">
            <v>Manpower</v>
          </cell>
        </row>
        <row r="167">
          <cell r="B167" t="str">
            <v>Encogroup</v>
          </cell>
          <cell r="C167" t="str">
            <v>Tej Pradap Sharma</v>
          </cell>
          <cell r="D167">
            <v>141365089</v>
          </cell>
          <cell r="F167" t="str">
            <v>Fitter</v>
          </cell>
          <cell r="H167" t="str">
            <v>Manpower</v>
          </cell>
        </row>
        <row r="168">
          <cell r="B168" t="str">
            <v>Encogroup</v>
          </cell>
          <cell r="C168" t="str">
            <v>Pradip Rai</v>
          </cell>
          <cell r="D168">
            <v>141365023</v>
          </cell>
          <cell r="F168" t="str">
            <v>Grinder</v>
          </cell>
          <cell r="H168" t="str">
            <v>Manpower</v>
          </cell>
        </row>
        <row r="169">
          <cell r="B169" t="str">
            <v>Encogroup</v>
          </cell>
          <cell r="C169" t="str">
            <v>Yogendra Kumar Rupachand</v>
          </cell>
          <cell r="D169">
            <v>141365094</v>
          </cell>
          <cell r="F169" t="str">
            <v>Helper</v>
          </cell>
          <cell r="H169" t="str">
            <v>Manpower</v>
          </cell>
        </row>
        <row r="170">
          <cell r="B170" t="str">
            <v>Encogroup</v>
          </cell>
          <cell r="C170" t="str">
            <v>Shivam Yadhav</v>
          </cell>
          <cell r="D170">
            <v>141365126</v>
          </cell>
          <cell r="F170" t="str">
            <v>Helper</v>
          </cell>
          <cell r="H170" t="str">
            <v>Manpower</v>
          </cell>
        </row>
        <row r="171">
          <cell r="B171" t="str">
            <v>Encogroup</v>
          </cell>
          <cell r="C171" t="str">
            <v>Sandeep Kumar Sugreev</v>
          </cell>
          <cell r="D171">
            <v>141365042</v>
          </cell>
          <cell r="F171" t="str">
            <v>Helper</v>
          </cell>
          <cell r="H171" t="str">
            <v>Manpower</v>
          </cell>
        </row>
        <row r="172">
          <cell r="B172" t="str">
            <v>Encogroup</v>
          </cell>
          <cell r="C172" t="str">
            <v>Ravi Yadav</v>
          </cell>
          <cell r="D172">
            <v>141365164</v>
          </cell>
          <cell r="F172" t="str">
            <v>Helper</v>
          </cell>
          <cell r="H172" t="str">
            <v>Manpower</v>
          </cell>
        </row>
        <row r="173">
          <cell r="B173" t="str">
            <v>Encogroup</v>
          </cell>
          <cell r="C173" t="str">
            <v>Ram Moorat Chandrabali</v>
          </cell>
          <cell r="D173">
            <v>141365061</v>
          </cell>
          <cell r="F173" t="str">
            <v>Helper</v>
          </cell>
          <cell r="H173" t="str">
            <v>Manpower</v>
          </cell>
        </row>
        <row r="174">
          <cell r="B174" t="str">
            <v>Encogroup</v>
          </cell>
          <cell r="C174" t="str">
            <v>Gulshan Gautham</v>
          </cell>
          <cell r="D174">
            <v>141365075</v>
          </cell>
          <cell r="F174" t="str">
            <v>Helper</v>
          </cell>
          <cell r="H174" t="str">
            <v>Manpower</v>
          </cell>
        </row>
        <row r="175">
          <cell r="B175" t="str">
            <v>Encogroup</v>
          </cell>
          <cell r="C175" t="str">
            <v>Sanjay Kumar Suresh Ram</v>
          </cell>
          <cell r="D175">
            <v>141365037</v>
          </cell>
          <cell r="F175" t="str">
            <v>Painter</v>
          </cell>
          <cell r="H175" t="str">
            <v>Manpower</v>
          </cell>
        </row>
        <row r="176">
          <cell r="B176" t="str">
            <v>Encogroup</v>
          </cell>
          <cell r="C176" t="str">
            <v>Balkishuan Muralidhar</v>
          </cell>
          <cell r="D176">
            <v>141365131</v>
          </cell>
          <cell r="F176" t="str">
            <v>Painter</v>
          </cell>
          <cell r="H176" t="str">
            <v>Manpower</v>
          </cell>
        </row>
        <row r="177">
          <cell r="B177" t="str">
            <v>Encogroup</v>
          </cell>
          <cell r="C177" t="str">
            <v>Ramesh Kumar</v>
          </cell>
          <cell r="D177">
            <v>141365056</v>
          </cell>
          <cell r="F177" t="str">
            <v>Fitter</v>
          </cell>
          <cell r="H177" t="str">
            <v>Manpower</v>
          </cell>
        </row>
        <row r="178">
          <cell r="B178" t="str">
            <v>Encogroup</v>
          </cell>
          <cell r="C178" t="str">
            <v>Atif Rasheed</v>
          </cell>
          <cell r="D178">
            <v>127331574</v>
          </cell>
          <cell r="F178" t="str">
            <v>Permit Receiver</v>
          </cell>
          <cell r="H178" t="str">
            <v>Manpower</v>
          </cell>
        </row>
        <row r="179">
          <cell r="B179" t="str">
            <v>Encogroup</v>
          </cell>
          <cell r="C179" t="str">
            <v>Muhammad Bilal Hussain Al Taf</v>
          </cell>
          <cell r="D179">
            <v>120653364</v>
          </cell>
          <cell r="F179" t="str">
            <v>Surveyor</v>
          </cell>
          <cell r="H179" t="str">
            <v>Manpower</v>
          </cell>
        </row>
        <row r="180">
          <cell r="B180" t="str">
            <v>Encogroup</v>
          </cell>
          <cell r="C180" t="str">
            <v>Said Helal Mohammed Al-Amri</v>
          </cell>
          <cell r="D180" t="e">
            <v>#N/A</v>
          </cell>
          <cell r="F180" t="str">
            <v>Driver</v>
          </cell>
          <cell r="H180" t="str">
            <v>Manpower</v>
          </cell>
        </row>
        <row r="181">
          <cell r="B181" t="str">
            <v>Encogroup</v>
          </cell>
          <cell r="C181" t="str">
            <v>Ajin Paramesvaran</v>
          </cell>
          <cell r="D181">
            <v>141377747</v>
          </cell>
          <cell r="F181" t="str">
            <v>Painter</v>
          </cell>
          <cell r="H181" t="str">
            <v>Manpower</v>
          </cell>
        </row>
        <row r="182">
          <cell r="B182" t="str">
            <v>Encogroup</v>
          </cell>
          <cell r="C182" t="str">
            <v>Rajeev Kumar Sadasivam</v>
          </cell>
          <cell r="D182">
            <v>141377771</v>
          </cell>
          <cell r="F182" t="str">
            <v>Painter</v>
          </cell>
          <cell r="H182" t="str">
            <v>Manpower</v>
          </cell>
        </row>
        <row r="183">
          <cell r="B183" t="str">
            <v>Encogroup</v>
          </cell>
          <cell r="C183" t="str">
            <v>Vijay Kumar Muthu</v>
          </cell>
          <cell r="D183">
            <v>141377714</v>
          </cell>
          <cell r="F183" t="str">
            <v>Painter</v>
          </cell>
          <cell r="H183" t="str">
            <v>Manpower</v>
          </cell>
        </row>
        <row r="184">
          <cell r="B184" t="str">
            <v>Encogroup</v>
          </cell>
          <cell r="C184" t="str">
            <v>Renjith Kumar</v>
          </cell>
          <cell r="D184">
            <v>141377752</v>
          </cell>
          <cell r="F184" t="str">
            <v>Rigger</v>
          </cell>
          <cell r="H184" t="str">
            <v>Manpower</v>
          </cell>
        </row>
        <row r="185">
          <cell r="B185" t="str">
            <v>Encogroup</v>
          </cell>
          <cell r="C185" t="str">
            <v>Rajesh Sadahanndan Pillai</v>
          </cell>
          <cell r="D185">
            <v>141381507</v>
          </cell>
          <cell r="F185" t="str">
            <v>HSE Manager</v>
          </cell>
          <cell r="H185" t="str">
            <v>Manpower</v>
          </cell>
        </row>
        <row r="186">
          <cell r="B186" t="str">
            <v>Encogroup</v>
          </cell>
          <cell r="C186" t="str">
            <v>Elias Zaatar</v>
          </cell>
          <cell r="D186">
            <v>121594839</v>
          </cell>
          <cell r="F186" t="str">
            <v>Electrical Engineer</v>
          </cell>
          <cell r="H186" t="str">
            <v>Manpower</v>
          </cell>
        </row>
        <row r="187">
          <cell r="B187" t="str">
            <v>Encogroup</v>
          </cell>
          <cell r="C187" t="str">
            <v>MD shahnawaj Ahmed</v>
          </cell>
          <cell r="D187">
            <v>141402153</v>
          </cell>
          <cell r="F187" t="str">
            <v>Forklift Operator</v>
          </cell>
          <cell r="H187" t="str">
            <v>Manpower</v>
          </cell>
        </row>
        <row r="188">
          <cell r="B188" t="str">
            <v>Encogroup</v>
          </cell>
          <cell r="C188" t="str">
            <v>Mohammad Khalfan Juma Al-Aufi</v>
          </cell>
          <cell r="D188">
            <v>1487544</v>
          </cell>
          <cell r="F188" t="str">
            <v>Driver</v>
          </cell>
          <cell r="H188" t="str">
            <v>Manpower</v>
          </cell>
        </row>
        <row r="189">
          <cell r="B189" t="str">
            <v>SARENS NASS</v>
          </cell>
          <cell r="C189" t="str">
            <v>Shinu S</v>
          </cell>
          <cell r="D189">
            <v>109957631</v>
          </cell>
          <cell r="F189" t="str">
            <v>Crane Operator-130T Liebherr Crawler</v>
          </cell>
          <cell r="H189" t="str">
            <v>Manpower</v>
          </cell>
        </row>
        <row r="190">
          <cell r="B190" t="str">
            <v>Al Jaber Heavy Lift</v>
          </cell>
          <cell r="C190" t="str">
            <v>Abid Hussain</v>
          </cell>
          <cell r="D190">
            <v>112778626</v>
          </cell>
          <cell r="F190" t="str">
            <v>Crane Operator-150T Hitachi Crawler</v>
          </cell>
          <cell r="H190" t="str">
            <v>Manpower</v>
          </cell>
        </row>
        <row r="191">
          <cell r="B191" t="str">
            <v>GAF</v>
          </cell>
          <cell r="C191" t="str">
            <v>Umesh Kumar</v>
          </cell>
          <cell r="D191" t="str">
            <v>96405686</v>
          </cell>
          <cell r="F191" t="str">
            <v>Helper</v>
          </cell>
          <cell r="H191" t="str">
            <v>Sub Contactor</v>
          </cell>
        </row>
        <row r="192">
          <cell r="B192" t="str">
            <v>Rial Al Khaleej</v>
          </cell>
          <cell r="C192" t="str">
            <v>Shahzad Latif</v>
          </cell>
          <cell r="D192">
            <v>98845403</v>
          </cell>
          <cell r="F192" t="str">
            <v>Crane Operator-100T Zoomlion Telescopic</v>
          </cell>
          <cell r="H192" t="str">
            <v>Manpower</v>
          </cell>
        </row>
        <row r="193">
          <cell r="B193" t="str">
            <v>GAF</v>
          </cell>
          <cell r="C193" t="str">
            <v>Biomanna Mohanan</v>
          </cell>
          <cell r="D193" t="str">
            <v>-</v>
          </cell>
          <cell r="F193" t="str">
            <v>Helper</v>
          </cell>
          <cell r="H193" t="str">
            <v>Sub Contactor</v>
          </cell>
        </row>
        <row r="194">
          <cell r="B194" t="str">
            <v>GAF</v>
          </cell>
          <cell r="C194" t="str">
            <v>Irfan Ansari</v>
          </cell>
          <cell r="D194">
            <v>78785394</v>
          </cell>
          <cell r="F194" t="str">
            <v>Helper</v>
          </cell>
          <cell r="H194" t="str">
            <v>Sub Contactor</v>
          </cell>
        </row>
        <row r="195">
          <cell r="B195" t="str">
            <v>GAF</v>
          </cell>
          <cell r="C195" t="str">
            <v>Vijaya Kumar (5036)</v>
          </cell>
          <cell r="D195" t="str">
            <v>71345102</v>
          </cell>
          <cell r="F195" t="str">
            <v>Mason</v>
          </cell>
          <cell r="H195" t="str">
            <v>Sub Contactor</v>
          </cell>
        </row>
        <row r="196">
          <cell r="B196" t="str">
            <v>AL NAHDHA</v>
          </cell>
          <cell r="C196" t="str">
            <v>MD Sadiq</v>
          </cell>
          <cell r="D196">
            <v>123805496</v>
          </cell>
          <cell r="F196" t="str">
            <v>Forklift Operator-7T</v>
          </cell>
          <cell r="H196" t="str">
            <v>Sub Contactor</v>
          </cell>
        </row>
        <row r="197">
          <cell r="B197" t="str">
            <v>AL Omar International</v>
          </cell>
          <cell r="C197" t="str">
            <v>MD Hasan Howlander</v>
          </cell>
          <cell r="D197">
            <v>115018512</v>
          </cell>
          <cell r="F197" t="str">
            <v>Rigger</v>
          </cell>
          <cell r="H197" t="str">
            <v>Sub Contactor</v>
          </cell>
        </row>
        <row r="198">
          <cell r="B198" t="str">
            <v>AL Omar International</v>
          </cell>
          <cell r="C198" t="str">
            <v>Omar Faruk Sarafat Ali</v>
          </cell>
          <cell r="D198">
            <v>106093463</v>
          </cell>
          <cell r="F198" t="str">
            <v>Rigger/Man-Lift Operator</v>
          </cell>
          <cell r="H198" t="str">
            <v>Sub Contactor</v>
          </cell>
        </row>
        <row r="199">
          <cell r="B199" t="str">
            <v>SARENS NASS</v>
          </cell>
          <cell r="C199" t="str">
            <v>Gulzar Singh</v>
          </cell>
          <cell r="D199">
            <v>79502392</v>
          </cell>
          <cell r="F199" t="str">
            <v>Crane Operator- 70T Liebherr Telescopic Crane-01</v>
          </cell>
          <cell r="H199" t="str">
            <v>Manpower</v>
          </cell>
        </row>
        <row r="200">
          <cell r="B200" t="str">
            <v>AL Omar International</v>
          </cell>
          <cell r="C200" t="str">
            <v>Md Tarek Hossain</v>
          </cell>
          <cell r="D200">
            <v>114929202</v>
          </cell>
          <cell r="F200" t="str">
            <v>Rigger</v>
          </cell>
          <cell r="H200" t="str">
            <v>Sub Contactor</v>
          </cell>
        </row>
        <row r="201">
          <cell r="B201" t="str">
            <v>GAF</v>
          </cell>
          <cell r="C201" t="str">
            <v>DILIP KUMAR (5042)</v>
          </cell>
          <cell r="D201" t="str">
            <v>113484195</v>
          </cell>
          <cell r="F201" t="str">
            <v>Supervisor</v>
          </cell>
          <cell r="H201" t="str">
            <v>Sub Contactor</v>
          </cell>
        </row>
        <row r="202">
          <cell r="B202" t="str">
            <v>Bright Light</v>
          </cell>
          <cell r="C202" t="str">
            <v>Siyaram Yadav</v>
          </cell>
          <cell r="D202">
            <v>81379273</v>
          </cell>
          <cell r="F202" t="str">
            <v>Crane Operator-100T Sany Telescopic</v>
          </cell>
          <cell r="H202" t="str">
            <v>Manpower</v>
          </cell>
        </row>
        <row r="203">
          <cell r="B203" t="str">
            <v xml:space="preserve">FAL Transport </v>
          </cell>
          <cell r="C203" t="str">
            <v>Zain Ul Abdin</v>
          </cell>
          <cell r="D203">
            <v>124233837</v>
          </cell>
          <cell r="F203" t="str">
            <v>Trailer Driver</v>
          </cell>
          <cell r="H203" t="str">
            <v>Sub Contactor</v>
          </cell>
        </row>
        <row r="204">
          <cell r="B204" t="str">
            <v>Rabwu Ahamal AL Khaleej Trad</v>
          </cell>
          <cell r="C204" t="str">
            <v>Saqib Ali</v>
          </cell>
          <cell r="D204">
            <v>131431131</v>
          </cell>
          <cell r="F204" t="str">
            <v>Rigger</v>
          </cell>
          <cell r="H204" t="str">
            <v>Sub Contactor</v>
          </cell>
        </row>
        <row r="205">
          <cell r="B205" t="str">
            <v xml:space="preserve">AL Omar International </v>
          </cell>
          <cell r="C205" t="str">
            <v>Mohammed Rokan Mia</v>
          </cell>
          <cell r="D205">
            <v>105813698</v>
          </cell>
          <cell r="F205" t="str">
            <v>Scaffolding Inspector</v>
          </cell>
          <cell r="H205" t="str">
            <v>Sub Contactor</v>
          </cell>
        </row>
        <row r="206">
          <cell r="B206" t="str">
            <v>AL Saif &amp; Al QALLM ENT LLC</v>
          </cell>
          <cell r="C206" t="str">
            <v>Shoib Akhtar</v>
          </cell>
          <cell r="D206">
            <v>135762195</v>
          </cell>
          <cell r="F206" t="str">
            <v>HSE Officer</v>
          </cell>
          <cell r="H206" t="str">
            <v>Sub Contactor</v>
          </cell>
        </row>
        <row r="207">
          <cell r="B207" t="str">
            <v>AL Saif &amp; Al QALLM ENT LLC</v>
          </cell>
          <cell r="C207" t="str">
            <v>MD Ayub Ali</v>
          </cell>
          <cell r="D207">
            <v>108478006</v>
          </cell>
          <cell r="F207" t="str">
            <v>Rigger</v>
          </cell>
          <cell r="H207" t="str">
            <v>Sub Contactor</v>
          </cell>
        </row>
        <row r="208">
          <cell r="B208" t="str">
            <v xml:space="preserve">AL Omar International </v>
          </cell>
          <cell r="C208" t="str">
            <v>Mohammed Gias Uddin</v>
          </cell>
          <cell r="D208">
            <v>96409155</v>
          </cell>
          <cell r="F208" t="str">
            <v>Scaffolder</v>
          </cell>
          <cell r="H208" t="str">
            <v>Sub Contactor</v>
          </cell>
        </row>
        <row r="209">
          <cell r="B209" t="str">
            <v>AL Saif &amp; Al QALLM ENT LLC</v>
          </cell>
          <cell r="C209" t="str">
            <v>Sakhawat Hussain</v>
          </cell>
          <cell r="D209">
            <v>76647648</v>
          </cell>
          <cell r="F209" t="str">
            <v>Rigger</v>
          </cell>
          <cell r="H209" t="str">
            <v>Sub Contactor</v>
          </cell>
        </row>
        <row r="210">
          <cell r="B210" t="str">
            <v>AL Saif &amp; Al QALLM ENT LLC</v>
          </cell>
          <cell r="C210" t="str">
            <v>Muhammed Rafi</v>
          </cell>
          <cell r="D210">
            <v>135340657</v>
          </cell>
          <cell r="F210" t="str">
            <v>Forklift Operator-14T</v>
          </cell>
          <cell r="H210" t="str">
            <v>Sub Contactor</v>
          </cell>
        </row>
        <row r="211">
          <cell r="B211" t="str">
            <v xml:space="preserve">AL Omar International </v>
          </cell>
          <cell r="C211" t="str">
            <v>Ripon Tofayel Ahmmad</v>
          </cell>
          <cell r="D211">
            <v>116676257</v>
          </cell>
          <cell r="F211" t="str">
            <v>Scaffolder</v>
          </cell>
          <cell r="H211" t="str">
            <v>Sub Contactor</v>
          </cell>
        </row>
        <row r="212">
          <cell r="B212" t="str">
            <v>AL Omar International</v>
          </cell>
          <cell r="C212" t="str">
            <v>Arifur Rahman</v>
          </cell>
          <cell r="D212">
            <v>115731078</v>
          </cell>
          <cell r="F212" t="str">
            <v>Scaffolder</v>
          </cell>
          <cell r="H212" t="str">
            <v>Sub Contactor</v>
          </cell>
        </row>
        <row r="213">
          <cell r="B213" t="str">
            <v>Sarens Nass</v>
          </cell>
          <cell r="C213" t="str">
            <v>Rampratap Chauhan</v>
          </cell>
          <cell r="D213" t="str">
            <v>112346941</v>
          </cell>
          <cell r="F213" t="str">
            <v>Rigger</v>
          </cell>
          <cell r="H213" t="str">
            <v>Sub Contactor</v>
          </cell>
        </row>
        <row r="214">
          <cell r="B214" t="str">
            <v>Sarens Nass</v>
          </cell>
          <cell r="C214" t="str">
            <v>Dinesh Yadav</v>
          </cell>
          <cell r="D214" t="str">
            <v>12284034</v>
          </cell>
          <cell r="F214" t="str">
            <v>Rigger</v>
          </cell>
          <cell r="H214" t="str">
            <v>Sub Contactor</v>
          </cell>
        </row>
        <row r="215">
          <cell r="B215" t="str">
            <v>Sarens Nass</v>
          </cell>
          <cell r="C215" t="str">
            <v>Padmanaban Sevu</v>
          </cell>
          <cell r="D215" t="str">
            <v>77873529</v>
          </cell>
          <cell r="F215" t="str">
            <v>Mechanic</v>
          </cell>
          <cell r="H215" t="str">
            <v>Sub Contactor</v>
          </cell>
        </row>
        <row r="216">
          <cell r="B216" t="str">
            <v>AL Omar International</v>
          </cell>
          <cell r="C216" t="str">
            <v>Mohammad Shahadat Hossain Sikdar</v>
          </cell>
          <cell r="D216">
            <v>95335424</v>
          </cell>
          <cell r="F216" t="str">
            <v>Scaffolder</v>
          </cell>
          <cell r="H216" t="str">
            <v>Sub Contactor</v>
          </cell>
        </row>
        <row r="217">
          <cell r="B217" t="str">
            <v xml:space="preserve">AL Omar International </v>
          </cell>
          <cell r="C217" t="str">
            <v>Mohammad Jehangir Alam</v>
          </cell>
          <cell r="D217">
            <v>85812175</v>
          </cell>
          <cell r="F217" t="str">
            <v>Scaffolding Supervisor</v>
          </cell>
          <cell r="H217" t="str">
            <v>Sub Contactor</v>
          </cell>
        </row>
        <row r="218">
          <cell r="B218" t="str">
            <v>Bright Light</v>
          </cell>
          <cell r="C218" t="str">
            <v>Subash H.K</v>
          </cell>
          <cell r="D218">
            <v>83935096</v>
          </cell>
          <cell r="F218" t="str">
            <v>Technician</v>
          </cell>
          <cell r="H218" t="str">
            <v>Sub Contactor</v>
          </cell>
        </row>
        <row r="219">
          <cell r="B219" t="str">
            <v>Bright Light</v>
          </cell>
          <cell r="C219" t="str">
            <v>Praveen Prakash</v>
          </cell>
          <cell r="D219" t="e">
            <v>#N/A</v>
          </cell>
          <cell r="F219" t="str">
            <v>Technician</v>
          </cell>
          <cell r="H219" t="str">
            <v>Sub Contactor</v>
          </cell>
        </row>
        <row r="220">
          <cell r="B220" t="str">
            <v>Bright Light</v>
          </cell>
          <cell r="C220" t="str">
            <v>Jalaludeen S</v>
          </cell>
          <cell r="D220">
            <v>103199925</v>
          </cell>
          <cell r="F220" t="str">
            <v>Mechanic</v>
          </cell>
          <cell r="H220" t="str">
            <v>Sub Contactor</v>
          </cell>
        </row>
        <row r="221">
          <cell r="B221" t="str">
            <v>Bright Light</v>
          </cell>
          <cell r="C221" t="str">
            <v>Gurtirath Singh</v>
          </cell>
          <cell r="D221">
            <v>114531608</v>
          </cell>
          <cell r="F221" t="str">
            <v>Crane Operator-150T Sany Crawler</v>
          </cell>
          <cell r="H221" t="str">
            <v>Manpower</v>
          </cell>
        </row>
        <row r="222">
          <cell r="B222" t="str">
            <v>Encogroup</v>
          </cell>
          <cell r="C222" t="str">
            <v>Hadi Moussa</v>
          </cell>
          <cell r="D222">
            <v>141358993</v>
          </cell>
          <cell r="F222" t="str">
            <v>Hydraulic Mechanic</v>
          </cell>
          <cell r="H222" t="str">
            <v>Manpower</v>
          </cell>
        </row>
        <row r="223">
          <cell r="B223" t="str">
            <v>Encogroup</v>
          </cell>
          <cell r="C223" t="str">
            <v>Samanta Soumitra</v>
          </cell>
          <cell r="D223">
            <v>140846698</v>
          </cell>
          <cell r="F223" t="str">
            <v>Assistant/Helper</v>
          </cell>
          <cell r="H223" t="str">
            <v>Manpower</v>
          </cell>
        </row>
        <row r="224">
          <cell r="B224" t="str">
            <v>Encogroup</v>
          </cell>
          <cell r="C224" t="str">
            <v>Laxman Chaudhary</v>
          </cell>
          <cell r="D224">
            <v>117207568</v>
          </cell>
          <cell r="F224" t="str">
            <v>Electrician</v>
          </cell>
          <cell r="H224" t="str">
            <v>Manpower</v>
          </cell>
        </row>
        <row r="225">
          <cell r="B225" t="str">
            <v>Encogroup</v>
          </cell>
          <cell r="C225" t="str">
            <v>Ejaz Hussein</v>
          </cell>
          <cell r="D225">
            <v>112952143</v>
          </cell>
          <cell r="F225" t="str">
            <v>HSE Coordinator</v>
          </cell>
          <cell r="H225" t="str">
            <v>Manpower</v>
          </cell>
        </row>
        <row r="226">
          <cell r="B226" t="str">
            <v>Encogroup</v>
          </cell>
          <cell r="C226" t="str">
            <v xml:space="preserve">Bittu Kumar </v>
          </cell>
          <cell r="D226">
            <v>140844604</v>
          </cell>
          <cell r="F226" t="str">
            <v>Painter</v>
          </cell>
          <cell r="H226" t="str">
            <v>Manpower</v>
          </cell>
        </row>
        <row r="227">
          <cell r="B227" t="str">
            <v>SARENS NASS</v>
          </cell>
          <cell r="C227" t="str">
            <v>Harpreet Singh</v>
          </cell>
          <cell r="D227">
            <v>78753612</v>
          </cell>
          <cell r="F227" t="str">
            <v>Crane Operator- 70T Liebherr Telescopic Crane-02</v>
          </cell>
          <cell r="H227" t="str">
            <v>Manpower</v>
          </cell>
        </row>
        <row r="228">
          <cell r="B228" t="str">
            <v>Bright Light</v>
          </cell>
          <cell r="C228" t="str">
            <v>Sawar Khan</v>
          </cell>
          <cell r="D228">
            <v>122771611</v>
          </cell>
          <cell r="F228" t="str">
            <v>Mechanic</v>
          </cell>
          <cell r="H228" t="str">
            <v>Sub Contactor</v>
          </cell>
        </row>
        <row r="229">
          <cell r="B229" t="str">
            <v>Bright Light</v>
          </cell>
          <cell r="C229" t="str">
            <v>Imran Khan</v>
          </cell>
          <cell r="D229">
            <v>125287583</v>
          </cell>
          <cell r="F229" t="str">
            <v>Mechanic</v>
          </cell>
          <cell r="H229" t="str">
            <v>Sub Contactor</v>
          </cell>
        </row>
        <row r="230">
          <cell r="B230" t="str">
            <v>AL Omar International Tarde&amp;Contracting SPC</v>
          </cell>
          <cell r="C230" t="str">
            <v>Md Totul</v>
          </cell>
          <cell r="D230">
            <v>115122635</v>
          </cell>
          <cell r="F230" t="str">
            <v>Scaffolder</v>
          </cell>
          <cell r="H230" t="str">
            <v>Sub Contactor</v>
          </cell>
        </row>
        <row r="231">
          <cell r="B231" t="str">
            <v>Encogroup</v>
          </cell>
          <cell r="C231" t="str">
            <v>Jayakrishnan Chandrasekaran</v>
          </cell>
          <cell r="D231">
            <v>75199413</v>
          </cell>
          <cell r="F231" t="str">
            <v>Mechanic</v>
          </cell>
          <cell r="H231" t="str">
            <v>Manpower</v>
          </cell>
        </row>
        <row r="232">
          <cell r="B232" t="str">
            <v>Encogroup</v>
          </cell>
          <cell r="C232" t="str">
            <v>Sandeep Kumar Yadhav</v>
          </cell>
          <cell r="D232" t="str">
            <v>P6050502</v>
          </cell>
          <cell r="F232" t="str">
            <v>Welder</v>
          </cell>
          <cell r="H232" t="str">
            <v>Manpower</v>
          </cell>
        </row>
        <row r="233">
          <cell r="B233" t="str">
            <v>Encogroup</v>
          </cell>
          <cell r="C233" t="str">
            <v>Mukesh Kumar Rai</v>
          </cell>
          <cell r="D233">
            <v>117974933</v>
          </cell>
          <cell r="F233" t="str">
            <v>Scaffolder</v>
          </cell>
          <cell r="H233" t="str">
            <v>Manpower</v>
          </cell>
        </row>
        <row r="234">
          <cell r="B234" t="str">
            <v>Encogroup</v>
          </cell>
          <cell r="C234" t="str">
            <v xml:space="preserve">Manoj Choudhary </v>
          </cell>
          <cell r="D234">
            <v>141502853</v>
          </cell>
          <cell r="F234" t="str">
            <v>Scaffolder</v>
          </cell>
          <cell r="H234" t="str">
            <v>Manpower</v>
          </cell>
        </row>
        <row r="235">
          <cell r="B235" t="str">
            <v>Encogroup</v>
          </cell>
          <cell r="C235" t="str">
            <v>Sheikha Rashid Saif-Al Ghaithi</v>
          </cell>
          <cell r="D235">
            <v>12637107</v>
          </cell>
          <cell r="F235" t="str">
            <v>QS Engineer</v>
          </cell>
          <cell r="H235" t="str">
            <v>Manpower</v>
          </cell>
        </row>
        <row r="236">
          <cell r="B236" t="str">
            <v>Encogroup</v>
          </cell>
          <cell r="C236" t="str">
            <v>Ashwin Shivaraman</v>
          </cell>
          <cell r="D236">
            <v>127414586</v>
          </cell>
          <cell r="F236" t="str">
            <v>HSE Officer</v>
          </cell>
          <cell r="H236" t="str">
            <v>Manpower</v>
          </cell>
        </row>
        <row r="237">
          <cell r="B237" t="str">
            <v>Encogroup</v>
          </cell>
          <cell r="C237" t="str">
            <v>Benny Thomas</v>
          </cell>
          <cell r="D237">
            <v>71437827</v>
          </cell>
          <cell r="F237" t="str">
            <v>Electrical  Supervisor</v>
          </cell>
          <cell r="H237" t="str">
            <v>Manpower</v>
          </cell>
        </row>
        <row r="238">
          <cell r="B238" t="str">
            <v>Encogroup</v>
          </cell>
          <cell r="C238" t="str">
            <v>Abdullah Khalfan Humaid Al Saidi</v>
          </cell>
          <cell r="D238">
            <v>7065269</v>
          </cell>
          <cell r="F238" t="str">
            <v>Lowbed Trailer Driver</v>
          </cell>
          <cell r="H238" t="str">
            <v>Manpower</v>
          </cell>
        </row>
        <row r="239">
          <cell r="B239" t="str">
            <v>Encogroup</v>
          </cell>
          <cell r="C239" t="str">
            <v>Deepu Chauhan</v>
          </cell>
          <cell r="D239">
            <v>117871996</v>
          </cell>
          <cell r="F239" t="str">
            <v>Electrical  Supervisor</v>
          </cell>
          <cell r="H239" t="str">
            <v>Manpower</v>
          </cell>
        </row>
        <row r="240">
          <cell r="B240" t="str">
            <v>Encogroup</v>
          </cell>
          <cell r="C240" t="str">
            <v>Anandbabu subbiah</v>
          </cell>
          <cell r="D240">
            <v>81612139</v>
          </cell>
          <cell r="F240" t="str">
            <v>Mechanic</v>
          </cell>
          <cell r="H240" t="str">
            <v>Manpower</v>
          </cell>
        </row>
        <row r="241">
          <cell r="B241" t="str">
            <v>Encogroup</v>
          </cell>
          <cell r="C241" t="str">
            <v>Hassan Salah Mechhawi</v>
          </cell>
          <cell r="D241">
            <v>130805123</v>
          </cell>
          <cell r="F241" t="str">
            <v>Mechanic</v>
          </cell>
          <cell r="H241" t="str">
            <v>Manpower</v>
          </cell>
        </row>
        <row r="242">
          <cell r="B242" t="str">
            <v>Al Jaber Heavy Lift</v>
          </cell>
          <cell r="C242" t="str">
            <v>Shobuj Raza</v>
          </cell>
          <cell r="D242" t="e">
            <v>#N/A</v>
          </cell>
          <cell r="F242" t="str">
            <v>Technician</v>
          </cell>
          <cell r="H242" t="str">
            <v>Manpower</v>
          </cell>
        </row>
        <row r="243">
          <cell r="B243" t="str">
            <v>Al Jaber Heavy Lift</v>
          </cell>
          <cell r="C243" t="str">
            <v>Shobul Rata</v>
          </cell>
          <cell r="D243" t="e">
            <v>#N/A</v>
          </cell>
          <cell r="F243" t="str">
            <v>Technician</v>
          </cell>
          <cell r="H243" t="str">
            <v>Manpower</v>
          </cell>
        </row>
        <row r="244">
          <cell r="B244" t="str">
            <v>Encogroup</v>
          </cell>
          <cell r="C244" t="str">
            <v>Mostafa Khaled Fattouh</v>
          </cell>
          <cell r="D244">
            <v>140623552</v>
          </cell>
          <cell r="F244" t="str">
            <v>Mechanic</v>
          </cell>
          <cell r="H244" t="str">
            <v>Manpower</v>
          </cell>
        </row>
        <row r="245">
          <cell r="B245" t="str">
            <v>Encogroup</v>
          </cell>
          <cell r="C245" t="str">
            <v>Sohan Gupta</v>
          </cell>
          <cell r="D245" t="str">
            <v>140806191</v>
          </cell>
          <cell r="F245" t="str">
            <v>Welder</v>
          </cell>
          <cell r="H245" t="str">
            <v>Manpower</v>
          </cell>
        </row>
        <row r="246">
          <cell r="B246" t="str">
            <v>Encogroup</v>
          </cell>
          <cell r="C246" t="str">
            <v>Subodh Sah</v>
          </cell>
          <cell r="D246" t="str">
            <v>S8474313</v>
          </cell>
          <cell r="F246" t="str">
            <v>Assistant/Helper</v>
          </cell>
          <cell r="H246" t="str">
            <v>Manpower</v>
          </cell>
        </row>
        <row r="247">
          <cell r="B247" t="str">
            <v>Encogroup</v>
          </cell>
          <cell r="C247" t="str">
            <v>Suresh Selvam</v>
          </cell>
          <cell r="D247">
            <v>141377709</v>
          </cell>
          <cell r="F247" t="str">
            <v>Helper</v>
          </cell>
          <cell r="H247" t="str">
            <v>Manpower</v>
          </cell>
        </row>
        <row r="248">
          <cell r="B248" t="str">
            <v>Encogroup</v>
          </cell>
          <cell r="C248" t="str">
            <v>Syed Ihsan Haider</v>
          </cell>
          <cell r="D248" t="str">
            <v>100398391</v>
          </cell>
          <cell r="F248" t="str">
            <v>DuqmTrailer Driver</v>
          </cell>
          <cell r="H248" t="str">
            <v>Manpower</v>
          </cell>
        </row>
        <row r="249">
          <cell r="B249" t="str">
            <v>OCI</v>
          </cell>
          <cell r="C249" t="str">
            <v>Tanveer</v>
          </cell>
          <cell r="D249" t="e">
            <v>#N/A</v>
          </cell>
          <cell r="F249" t="str">
            <v>DRIVER</v>
          </cell>
          <cell r="H249" t="str">
            <v>Manpower</v>
          </cell>
        </row>
        <row r="250">
          <cell r="B250" t="str">
            <v>Encogroup</v>
          </cell>
          <cell r="C250" t="str">
            <v>Venkatesh Annapu</v>
          </cell>
          <cell r="D250" t="str">
            <v>84357232</v>
          </cell>
          <cell r="F250" t="str">
            <v>Rigger</v>
          </cell>
          <cell r="H250" t="str">
            <v>Manpower</v>
          </cell>
        </row>
        <row r="251">
          <cell r="B251" t="str">
            <v>Encogroup</v>
          </cell>
          <cell r="C251" t="str">
            <v>Muhammed Yasir</v>
          </cell>
          <cell r="D251">
            <v>118882687</v>
          </cell>
          <cell r="F251" t="str">
            <v>Permit Reciver</v>
          </cell>
          <cell r="H251" t="str">
            <v>Manpower</v>
          </cell>
        </row>
        <row r="252">
          <cell r="B252" t="str">
            <v>OCI</v>
          </cell>
          <cell r="C252" t="str">
            <v>Azhar</v>
          </cell>
          <cell r="D252" t="str">
            <v>not required</v>
          </cell>
          <cell r="F252" t="str">
            <v>DRIVER</v>
          </cell>
          <cell r="H252" t="str">
            <v>DRIVER</v>
          </cell>
        </row>
        <row r="253">
          <cell r="B253" t="str">
            <v>ATS</v>
          </cell>
          <cell r="C253" t="str">
            <v>Ali Haider</v>
          </cell>
          <cell r="D253" t="str">
            <v>100398391</v>
          </cell>
          <cell r="F253" t="str">
            <v>DRIVER</v>
          </cell>
          <cell r="H253" t="str">
            <v>DRIVER</v>
          </cell>
        </row>
        <row r="254">
          <cell r="B254" t="str">
            <v>Encogroup</v>
          </cell>
          <cell r="C254" t="str">
            <v>Vijai Kumar Yadhav</v>
          </cell>
          <cell r="D254" t="str">
            <v>123039387</v>
          </cell>
          <cell r="F254" t="str">
            <v>Fitter/Erector</v>
          </cell>
          <cell r="H254" t="str">
            <v>Manpower</v>
          </cell>
        </row>
        <row r="255">
          <cell r="B255" t="str">
            <v>Al Jaber Heavy Lift</v>
          </cell>
          <cell r="C255" t="str">
            <v>70T Hitachi Crawler Crane- 01</v>
          </cell>
          <cell r="D255" t="e">
            <v>#N/A</v>
          </cell>
          <cell r="F255" t="str">
            <v>70T Crawler Crane</v>
          </cell>
          <cell r="H255" t="str">
            <v>Equipment</v>
          </cell>
        </row>
        <row r="256">
          <cell r="B256" t="str">
            <v>Al Jaber Heavy Lift</v>
          </cell>
          <cell r="C256" t="str">
            <v>70T Hitachi Crawler Crane- 02</v>
          </cell>
          <cell r="D256" t="e">
            <v>#N/A</v>
          </cell>
          <cell r="F256" t="str">
            <v>70T Crawler Crane</v>
          </cell>
          <cell r="H256" t="str">
            <v>Equipment</v>
          </cell>
        </row>
        <row r="257">
          <cell r="B257" t="str">
            <v>Bright Light</v>
          </cell>
          <cell r="C257" t="str">
            <v>100T TELESCOPIC CRANE (RENTAL)-Sany</v>
          </cell>
          <cell r="D257" t="e">
            <v>#N/A</v>
          </cell>
          <cell r="F257" t="str">
            <v>100T Telescopic Crane</v>
          </cell>
          <cell r="H257" t="str">
            <v>Equipment</v>
          </cell>
        </row>
        <row r="258">
          <cell r="B258" t="str">
            <v>Riyan Al Khaleej</v>
          </cell>
          <cell r="C258" t="str">
            <v>100T TELESCOPIC CRANE (RENTAL)-ZL</v>
          </cell>
          <cell r="D258" t="e">
            <v>#N/A</v>
          </cell>
          <cell r="F258" t="str">
            <v>100T Telescopic Crane</v>
          </cell>
          <cell r="H258" t="str">
            <v>Equipment</v>
          </cell>
        </row>
        <row r="259">
          <cell r="B259" t="str">
            <v>Nass Group</v>
          </cell>
          <cell r="C259" t="str">
            <v>70T TELESCOPIC CRANE-02 (RENTAL)-Liebherr</v>
          </cell>
          <cell r="D259" t="e">
            <v>#N/A</v>
          </cell>
          <cell r="F259" t="str">
            <v>70T-Telescopic crane</v>
          </cell>
          <cell r="H259" t="str">
            <v>Equipment</v>
          </cell>
        </row>
        <row r="260">
          <cell r="B260" t="str">
            <v>Encogroup</v>
          </cell>
          <cell r="C260" t="str">
            <v>12M SCISSOR LIFT</v>
          </cell>
          <cell r="D260" t="e">
            <v>#N/A</v>
          </cell>
          <cell r="F260" t="str">
            <v>12M Scissor Lift</v>
          </cell>
          <cell r="H260" t="str">
            <v>Equipment</v>
          </cell>
        </row>
        <row r="261">
          <cell r="B261" t="str">
            <v>Encogroup</v>
          </cell>
          <cell r="C261" t="str">
            <v>13 SEAT BUS 4546MH</v>
          </cell>
          <cell r="D261" t="e">
            <v>#N/A</v>
          </cell>
          <cell r="F261" t="str">
            <v>13 Seat Bus</v>
          </cell>
          <cell r="H261" t="str">
            <v>Equipment</v>
          </cell>
        </row>
        <row r="262">
          <cell r="B262" t="str">
            <v>Nass Group</v>
          </cell>
          <cell r="C262" t="str">
            <v>130T CRAWLER CRANE (RENTAL)-Liebherr</v>
          </cell>
          <cell r="D262" t="e">
            <v>#N/A</v>
          </cell>
          <cell r="F262" t="str">
            <v>130T Crawler Crane</v>
          </cell>
          <cell r="H262" t="str">
            <v>Equipment</v>
          </cell>
        </row>
        <row r="263">
          <cell r="B263" t="str">
            <v>Encogroup</v>
          </cell>
          <cell r="C263" t="str">
            <v>14T FORKLIFT 2088LD</v>
          </cell>
          <cell r="D263" t="e">
            <v>#N/A</v>
          </cell>
          <cell r="F263" t="str">
            <v>14T Fork lift</v>
          </cell>
          <cell r="H263" t="str">
            <v>Equipment</v>
          </cell>
        </row>
        <row r="264">
          <cell r="B264" t="str">
            <v>Encogroup</v>
          </cell>
          <cell r="C264" t="str">
            <v>15 SEAT BUS 9405YR</v>
          </cell>
          <cell r="D264" t="e">
            <v>#N/A</v>
          </cell>
          <cell r="F264" t="str">
            <v>15 Seat Bus</v>
          </cell>
          <cell r="H264" t="str">
            <v>Equipment</v>
          </cell>
        </row>
        <row r="265">
          <cell r="B265" t="str">
            <v>Al Jaber Heavy Lift</v>
          </cell>
          <cell r="C265" t="str">
            <v>150T CRAWLER CRANE (RENTAL)-Hitachi</v>
          </cell>
          <cell r="D265" t="e">
            <v>#N/A</v>
          </cell>
          <cell r="F265" t="str">
            <v>150T-Crawler Crane</v>
          </cell>
          <cell r="H265" t="str">
            <v>Equipment</v>
          </cell>
        </row>
        <row r="266">
          <cell r="B266" t="str">
            <v>Bright Light</v>
          </cell>
          <cell r="C266" t="str">
            <v>150T CRAWLER CRANE (RENTAL)-Sany</v>
          </cell>
          <cell r="D266" t="e">
            <v>#N/A</v>
          </cell>
          <cell r="F266" t="str">
            <v>150T-Crawler Crane</v>
          </cell>
          <cell r="H266" t="str">
            <v>Equipment</v>
          </cell>
        </row>
        <row r="267">
          <cell r="B267" t="str">
            <v>Encogroup</v>
          </cell>
          <cell r="C267" t="str">
            <v>55 SEAT BUS</v>
          </cell>
          <cell r="D267" t="e">
            <v>#N/A</v>
          </cell>
          <cell r="F267" t="str">
            <v>55 Seat Bus</v>
          </cell>
          <cell r="H267" t="str">
            <v>Equipment</v>
          </cell>
        </row>
        <row r="268">
          <cell r="B268" t="str">
            <v>Encogroup</v>
          </cell>
          <cell r="C268" t="str">
            <v>55 SEAT BUS 7885YM (RENTAL)</v>
          </cell>
          <cell r="D268" t="e">
            <v>#N/A</v>
          </cell>
          <cell r="F268" t="str">
            <v>55 Seat Bus</v>
          </cell>
          <cell r="H268" t="str">
            <v>Equipment</v>
          </cell>
        </row>
        <row r="269">
          <cell r="B269" t="str">
            <v>Encogroup</v>
          </cell>
          <cell r="C269" t="str">
            <v>22 SEAT BUS 2498YD</v>
          </cell>
          <cell r="D269" t="e">
            <v>#N/A</v>
          </cell>
          <cell r="F269" t="str">
            <v>22 Seat Bus</v>
          </cell>
          <cell r="H269" t="str">
            <v>Equipment</v>
          </cell>
        </row>
        <row r="270">
          <cell r="B270" t="str">
            <v>Encogroup</v>
          </cell>
          <cell r="C270" t="str">
            <v>22 SEAT BUS 2746MB</v>
          </cell>
          <cell r="D270" t="e">
            <v>#N/A</v>
          </cell>
          <cell r="F270" t="str">
            <v>22 Seat Bus</v>
          </cell>
          <cell r="H270" t="str">
            <v>Equipment</v>
          </cell>
        </row>
        <row r="271">
          <cell r="B271" t="str">
            <v>Encogroup</v>
          </cell>
          <cell r="C271" t="str">
            <v>22 SEAT BUS 8028WA</v>
          </cell>
          <cell r="D271" t="e">
            <v>#N/A</v>
          </cell>
          <cell r="F271" t="str">
            <v>22 Seat Bus</v>
          </cell>
          <cell r="H271" t="str">
            <v>Equipment</v>
          </cell>
        </row>
        <row r="272">
          <cell r="B272" t="str">
            <v>Encogroup</v>
          </cell>
          <cell r="C272" t="str">
            <v>22KVA GENERATOR</v>
          </cell>
          <cell r="D272" t="e">
            <v>#N/A</v>
          </cell>
          <cell r="F272" t="str">
            <v>22KVA-Generator</v>
          </cell>
          <cell r="H272" t="str">
            <v>Equipment</v>
          </cell>
        </row>
        <row r="273">
          <cell r="B273" t="str">
            <v>Encogroup</v>
          </cell>
          <cell r="C273" t="str">
            <v>22M HAULOTTE MANLIFT-1</v>
          </cell>
          <cell r="D273" t="e">
            <v>#N/A</v>
          </cell>
          <cell r="F273" t="str">
            <v>22M-Manlift</v>
          </cell>
          <cell r="H273" t="str">
            <v>Equipment</v>
          </cell>
        </row>
        <row r="274">
          <cell r="B274" t="str">
            <v>Encogroup</v>
          </cell>
          <cell r="C274" t="str">
            <v>22M HAULOTTE MANLIFT-2</v>
          </cell>
          <cell r="D274" t="e">
            <v>#N/A</v>
          </cell>
          <cell r="F274" t="str">
            <v>22M-Manlift</v>
          </cell>
          <cell r="H274" t="str">
            <v>Equipment</v>
          </cell>
        </row>
        <row r="275">
          <cell r="B275" t="str">
            <v>Encogroup</v>
          </cell>
          <cell r="C275" t="str">
            <v>22M LCMG MANLIFT</v>
          </cell>
          <cell r="D275" t="e">
            <v>#N/A</v>
          </cell>
          <cell r="F275" t="str">
            <v>22M-Manlift</v>
          </cell>
          <cell r="H275" t="str">
            <v>Equipment</v>
          </cell>
        </row>
        <row r="276">
          <cell r="B276" t="str">
            <v>Encogroup</v>
          </cell>
          <cell r="C276" t="str">
            <v>28M LCMG MANLIFT</v>
          </cell>
          <cell r="D276" t="e">
            <v>#N/A</v>
          </cell>
          <cell r="F276" t="str">
            <v>28M-Manlift</v>
          </cell>
          <cell r="H276" t="str">
            <v>Equipment</v>
          </cell>
        </row>
        <row r="277">
          <cell r="B277" t="str">
            <v>Encogroup</v>
          </cell>
          <cell r="C277" t="str">
            <v>300/330KVA CUMMINS GENERATOR</v>
          </cell>
          <cell r="D277" t="e">
            <v>#N/A</v>
          </cell>
          <cell r="F277" t="str">
            <v>300 KVA Generator</v>
          </cell>
          <cell r="H277" t="str">
            <v>Equipment</v>
          </cell>
        </row>
        <row r="278">
          <cell r="B278" t="str">
            <v>Encogroup</v>
          </cell>
          <cell r="C278" t="str">
            <v>35/40KVA CUMMINS GENERATOR</v>
          </cell>
          <cell r="D278" t="e">
            <v>#N/A</v>
          </cell>
          <cell r="F278" t="str">
            <v>35 KVA Generator</v>
          </cell>
          <cell r="H278" t="str">
            <v>Equipment</v>
          </cell>
        </row>
        <row r="279">
          <cell r="B279" t="str">
            <v>Encogroup</v>
          </cell>
          <cell r="C279" t="str">
            <v xml:space="preserve">40KVA CUMMINS GENERATOR </v>
          </cell>
          <cell r="D279" t="e">
            <v>#N/A</v>
          </cell>
          <cell r="F279" t="str">
            <v>40KVA Generator</v>
          </cell>
          <cell r="H279" t="str">
            <v>Equipment</v>
          </cell>
        </row>
        <row r="280">
          <cell r="B280" t="str">
            <v>Encogroup</v>
          </cell>
          <cell r="C280" t="str">
            <v>22KVA GENERATOR</v>
          </cell>
          <cell r="D280" t="e">
            <v>#N/A</v>
          </cell>
          <cell r="F280" t="str">
            <v>22 KVA Generator</v>
          </cell>
          <cell r="H280" t="str">
            <v>Equipment</v>
          </cell>
        </row>
        <row r="281">
          <cell r="B281" t="str">
            <v>Encogroup</v>
          </cell>
          <cell r="C281" t="str">
            <v>40M JLG MANLIFT</v>
          </cell>
          <cell r="D281" t="e">
            <v>#N/A</v>
          </cell>
          <cell r="F281" t="str">
            <v>40M-Manlift</v>
          </cell>
          <cell r="H281" t="str">
            <v>Equipment</v>
          </cell>
        </row>
        <row r="282">
          <cell r="B282" t="str">
            <v>Encogroup</v>
          </cell>
          <cell r="C282" t="str">
            <v xml:space="preserve">4T JCB TELEHANDLER </v>
          </cell>
          <cell r="D282" t="e">
            <v>#N/A</v>
          </cell>
          <cell r="F282" t="str">
            <v>TELEHANDLER</v>
          </cell>
          <cell r="H282" t="str">
            <v>Equipment</v>
          </cell>
        </row>
        <row r="283">
          <cell r="B283" t="str">
            <v>Nass Group</v>
          </cell>
          <cell r="C283" t="str">
            <v>70T TELESCOPIC CRANE-01 (RENTAL)-Liebherr</v>
          </cell>
          <cell r="D283" t="e">
            <v>#N/A</v>
          </cell>
          <cell r="F283" t="str">
            <v>70T-Telescopic crane</v>
          </cell>
          <cell r="H283" t="str">
            <v>Equipment</v>
          </cell>
        </row>
        <row r="284">
          <cell r="B284" t="str">
            <v>Encogroup</v>
          </cell>
          <cell r="C284" t="str">
            <v>7T FORKLIFT</v>
          </cell>
          <cell r="D284" t="e">
            <v>#N/A</v>
          </cell>
          <cell r="F284" t="str">
            <v>7T-Fork lift</v>
          </cell>
          <cell r="H284" t="str">
            <v>Equipment</v>
          </cell>
        </row>
        <row r="285">
          <cell r="B285" t="str">
            <v>Encogroup</v>
          </cell>
          <cell r="C285" t="str">
            <v>80T GROVE TELESCOPIC CRANE</v>
          </cell>
          <cell r="D285" t="e">
            <v>#N/A</v>
          </cell>
          <cell r="F285" t="str">
            <v>80T-Telescopic crane</v>
          </cell>
          <cell r="H285" t="str">
            <v>Equipment</v>
          </cell>
        </row>
        <row r="286">
          <cell r="B286" t="str">
            <v>Bright Light</v>
          </cell>
          <cell r="C286" t="str">
            <v>Renault FLATBED TRAILER 3576MD (RENTAL)</v>
          </cell>
          <cell r="D286" t="e">
            <v>#N/A</v>
          </cell>
          <cell r="F286" t="str">
            <v>Trailer</v>
          </cell>
          <cell r="H286" t="str">
            <v>Equipment</v>
          </cell>
        </row>
        <row r="287">
          <cell r="B287" t="str">
            <v>Encogroup</v>
          </cell>
          <cell r="C287" t="str">
            <v>7T HI-UP 1077DS</v>
          </cell>
          <cell r="D287" t="e">
            <v>#N/A</v>
          </cell>
          <cell r="F287" t="str">
            <v>7T-HIAB</v>
          </cell>
          <cell r="H287" t="str">
            <v>Equipment</v>
          </cell>
        </row>
        <row r="288">
          <cell r="B288" t="str">
            <v>Encogroup</v>
          </cell>
          <cell r="C288" t="str">
            <v>FLATBED TRAILER</v>
          </cell>
          <cell r="D288" t="e">
            <v>#N/A</v>
          </cell>
          <cell r="F288" t="str">
            <v>FLATBED TRAILER</v>
          </cell>
          <cell r="H288" t="str">
            <v>Equipment</v>
          </cell>
        </row>
        <row r="289">
          <cell r="B289" t="str">
            <v>Encogroup</v>
          </cell>
          <cell r="C289" t="str">
            <v>Renault Lowbed Trailer 2939ML</v>
          </cell>
          <cell r="D289" t="e">
            <v>#N/A</v>
          </cell>
          <cell r="F289" t="str">
            <v>Trailer</v>
          </cell>
          <cell r="H289" t="str">
            <v>Equipment</v>
          </cell>
        </row>
        <row r="290">
          <cell r="B290" t="str">
            <v>Al Asrah Al Mumayaza Trad</v>
          </cell>
          <cell r="C290" t="str">
            <v>PICK-UP 15BM (RENTAL)</v>
          </cell>
          <cell r="D290" t="e">
            <v>#N/A</v>
          </cell>
          <cell r="F290" t="str">
            <v>PICK-UP</v>
          </cell>
          <cell r="H290" t="str">
            <v>Equipment</v>
          </cell>
        </row>
        <row r="291">
          <cell r="B291" t="str">
            <v>Al Asrah Al Mumayaza Trad</v>
          </cell>
          <cell r="C291" t="str">
            <v>PICK-UP 2819DA (RENTAL)</v>
          </cell>
          <cell r="D291" t="e">
            <v>#N/A</v>
          </cell>
          <cell r="F291" t="str">
            <v>PICK-UP</v>
          </cell>
          <cell r="H291" t="str">
            <v>Equipment</v>
          </cell>
        </row>
        <row r="292">
          <cell r="B292" t="str">
            <v>Al Asrah Al Mumayaza Trad</v>
          </cell>
          <cell r="C292" t="str">
            <v>PICK-UP 4265BM (RENTAL)</v>
          </cell>
          <cell r="D292" t="e">
            <v>#N/A</v>
          </cell>
          <cell r="F292" t="str">
            <v>PICK-UP</v>
          </cell>
          <cell r="H292" t="str">
            <v>Equipment</v>
          </cell>
        </row>
        <row r="293">
          <cell r="B293" t="str">
            <v>Al Asrah Al Mumayaza Trad</v>
          </cell>
          <cell r="C293" t="str">
            <v>PICK-UP 569WA (RENTAL)</v>
          </cell>
          <cell r="D293" t="e">
            <v>#N/A</v>
          </cell>
          <cell r="F293" t="str">
            <v>PICK-UP</v>
          </cell>
          <cell r="H293" t="str">
            <v>Equipment</v>
          </cell>
        </row>
        <row r="294">
          <cell r="B294" t="str">
            <v>Encogroup</v>
          </cell>
          <cell r="C294" t="str">
            <v>SCISSOR LIFT-01</v>
          </cell>
          <cell r="D294" t="e">
            <v>#N/A</v>
          </cell>
          <cell r="F294" t="str">
            <v>SCISSOR LIFT</v>
          </cell>
          <cell r="H294" t="str">
            <v>Equipment</v>
          </cell>
        </row>
        <row r="295">
          <cell r="B295" t="str">
            <v>Encogroup</v>
          </cell>
          <cell r="C295" t="str">
            <v>SCISSOR LIFT-02</v>
          </cell>
          <cell r="D295" t="e">
            <v>#N/A</v>
          </cell>
          <cell r="F295" t="str">
            <v>SCISSOR LIFT</v>
          </cell>
          <cell r="H295" t="str">
            <v>Equipment</v>
          </cell>
        </row>
        <row r="296">
          <cell r="B296" t="str">
            <v>Encogroup</v>
          </cell>
          <cell r="C296" t="str">
            <v>SCISSOR LIFT-03</v>
          </cell>
          <cell r="D296" t="e">
            <v>#N/A</v>
          </cell>
          <cell r="F296" t="str">
            <v>SCISSOR LIFT</v>
          </cell>
          <cell r="H296" t="str">
            <v>Equipment</v>
          </cell>
        </row>
        <row r="297">
          <cell r="B297" t="str">
            <v>Encogroup</v>
          </cell>
          <cell r="C297" t="str">
            <v>SCISSOR LIFT-04</v>
          </cell>
          <cell r="D297" t="e">
            <v>#N/A</v>
          </cell>
          <cell r="F297" t="str">
            <v>SCISSOR LIFT</v>
          </cell>
          <cell r="H297" t="str">
            <v>Equipment</v>
          </cell>
        </row>
        <row r="298">
          <cell r="B298" t="str">
            <v>Encogroup</v>
          </cell>
          <cell r="C298" t="str">
            <v>TOWER LIGHT-1</v>
          </cell>
          <cell r="D298" t="e">
            <v>#N/A</v>
          </cell>
          <cell r="F298" t="str">
            <v>TOWER LIGHT</v>
          </cell>
          <cell r="H298" t="str">
            <v>Equipment</v>
          </cell>
        </row>
        <row r="299">
          <cell r="B299" t="str">
            <v>Encogroup</v>
          </cell>
          <cell r="C299" t="str">
            <v>TOWER LIGHT-2</v>
          </cell>
          <cell r="D299" t="e">
            <v>#N/A</v>
          </cell>
          <cell r="F299" t="str">
            <v>TOWER LIGHT</v>
          </cell>
          <cell r="H299" t="str">
            <v>Equipment</v>
          </cell>
        </row>
        <row r="300">
          <cell r="B300" t="str">
            <v>Encogroup</v>
          </cell>
          <cell r="C300" t="str">
            <v>TOWER LIGHT-3</v>
          </cell>
          <cell r="D300" t="e">
            <v>#N/A</v>
          </cell>
          <cell r="F300" t="str">
            <v>TOWER LIGHT</v>
          </cell>
          <cell r="H300" t="str">
            <v>Equipment</v>
          </cell>
        </row>
        <row r="301">
          <cell r="B301" t="str">
            <v>Encogroup</v>
          </cell>
          <cell r="C301" t="str">
            <v>TOWER LIGHT -4</v>
          </cell>
          <cell r="D301" t="e">
            <v>#N/A</v>
          </cell>
          <cell r="F301" t="str">
            <v>TOWER LIGHT</v>
          </cell>
          <cell r="H301" t="str">
            <v>Equipment</v>
          </cell>
        </row>
        <row r="302">
          <cell r="B302" t="str">
            <v>Encogroup</v>
          </cell>
          <cell r="C302" t="str">
            <v>TOWER LIGHT -5</v>
          </cell>
          <cell r="D302" t="e">
            <v>#N/A</v>
          </cell>
          <cell r="F302" t="str">
            <v>TOWER LIGHT</v>
          </cell>
          <cell r="H302" t="str">
            <v>Equipment</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81CA-8AF5-4019-8BE8-6BC5C33AEB95}">
  <dimension ref="A1:S843"/>
  <sheetViews>
    <sheetView tabSelected="1" workbookViewId="0">
      <selection activeCell="E17" sqref="E17"/>
    </sheetView>
  </sheetViews>
  <sheetFormatPr defaultRowHeight="14.4" x14ac:dyDescent="0.3"/>
  <cols>
    <col min="1" max="1" width="9.77734375" customWidth="1"/>
    <col min="2" max="2" width="11.6640625" customWidth="1"/>
    <col min="3" max="3" width="12.44140625" customWidth="1"/>
    <col min="4" max="4" width="34.44140625" customWidth="1"/>
    <col min="5" max="5" width="39.88671875" customWidth="1"/>
    <col min="6" max="6" width="11.109375" bestFit="1" customWidth="1"/>
    <col min="7" max="7" width="44.88671875" customWidth="1"/>
    <col min="8" max="9" width="12.44140625" customWidth="1"/>
    <col min="10" max="10" width="17.21875" customWidth="1"/>
    <col min="11" max="11" width="13.77734375" customWidth="1"/>
    <col min="12" max="12" width="18.33203125" customWidth="1"/>
    <col min="13" max="13" width="9.6640625" customWidth="1"/>
    <col min="15" max="15" width="19.44140625" customWidth="1"/>
    <col min="16" max="16" width="24.77734375" customWidth="1"/>
    <col min="17" max="17" width="26.21875" customWidth="1"/>
    <col min="18" max="18" width="255.77734375" bestFit="1" customWidth="1"/>
    <col min="19" max="19" width="181.44140625" customWidth="1"/>
  </cols>
  <sheetData>
    <row r="1" spans="1:19" x14ac:dyDescent="0.3">
      <c r="A1" s="45" t="s">
        <v>171</v>
      </c>
      <c r="B1" s="46" t="s">
        <v>172</v>
      </c>
      <c r="C1" s="46" t="s">
        <v>173</v>
      </c>
      <c r="D1" s="47" t="s">
        <v>174</v>
      </c>
      <c r="E1" s="46" t="s">
        <v>175</v>
      </c>
      <c r="F1" s="46" t="s">
        <v>176</v>
      </c>
      <c r="G1" s="47" t="s">
        <v>177</v>
      </c>
      <c r="H1" s="47" t="s">
        <v>178</v>
      </c>
      <c r="I1" s="47" t="s">
        <v>179</v>
      </c>
      <c r="J1" s="48" t="s">
        <v>180</v>
      </c>
      <c r="K1" s="48" t="s">
        <v>181</v>
      </c>
      <c r="L1" s="48" t="s">
        <v>182</v>
      </c>
      <c r="M1" s="48" t="s">
        <v>183</v>
      </c>
      <c r="N1" s="49" t="s">
        <v>184</v>
      </c>
      <c r="O1" s="49" t="s">
        <v>185</v>
      </c>
      <c r="P1" s="49" t="s">
        <v>186</v>
      </c>
      <c r="Q1" s="49" t="s">
        <v>187</v>
      </c>
      <c r="R1" s="49" t="s">
        <v>188</v>
      </c>
      <c r="S1" s="50" t="s">
        <v>189</v>
      </c>
    </row>
    <row r="2" spans="1:19" x14ac:dyDescent="0.3">
      <c r="A2" s="1" t="e">
        <f>IF(C2="","",MAX(#REF!)+1)</f>
        <v>#REF!</v>
      </c>
      <c r="B2" s="2" t="s">
        <v>0</v>
      </c>
      <c r="C2" s="3">
        <v>46082</v>
      </c>
      <c r="D2" s="3" t="str">
        <f>_xlfn.XLOOKUP([1]!Table134526_79101120212223242526[[#This Row],[Name Surname]],[1]Manpower!$C$4:$C$1048576,[1]Manpower!$B$4:$B$1048576,"")</f>
        <v>Riyan Al Khaleej</v>
      </c>
      <c r="E2" s="3" t="s">
        <v>1</v>
      </c>
      <c r="F2" s="4" t="e">
        <f>_xlfn.XLOOKUP([1]!Table134526_79101120212223242526[[#This Row],[Name Surname]],[1]Manpower!C:C,[1]Manpower!D:D,)</f>
        <v>#N/A</v>
      </c>
      <c r="G2" s="3" t="str">
        <f>_xlfn.XLOOKUP([1]!Table134526_79101120212223242526[[#This Row],[Name Surname]],[1]Manpower!$C$4:$C$1048576,[1]Manpower!$F$4:$F$1048576,"")</f>
        <v>100T Telescopic Crane</v>
      </c>
      <c r="H2" s="3" t="str">
        <f>_xlfn.XLOOKUP([1]!Table134526_79101120212223242526[[#This Row],[Name Surname]],[1]Manpower!$C$4:$C$1048576,[1]Manpower!$H$4:$H$1048576,"")</f>
        <v>Equipment</v>
      </c>
      <c r="I2" s="3" t="str">
        <f>_xlfn.XLOOKUP([1]!Table134526_79101120212223242526[[#This Row],[Name Surname]],[1]Manpower!$C$4:$C$1048576,[1]Manpower!$H$4:$H$1048576,"")</f>
        <v>Equipment</v>
      </c>
      <c r="J2" s="5" t="s">
        <v>2</v>
      </c>
      <c r="K2" s="5" t="s">
        <v>3</v>
      </c>
      <c r="L2" s="5" t="s">
        <v>4</v>
      </c>
      <c r="M2" s="5" t="s">
        <v>5</v>
      </c>
      <c r="N2" s="6">
        <v>8</v>
      </c>
      <c r="O2" s="5" t="s">
        <v>6</v>
      </c>
      <c r="P2" s="7" t="s">
        <v>3</v>
      </c>
      <c r="Q2" s="5" t="s">
        <v>3</v>
      </c>
      <c r="R2" s="5" t="s">
        <v>7</v>
      </c>
      <c r="S2" s="8"/>
    </row>
    <row r="3" spans="1:19" x14ac:dyDescent="0.3">
      <c r="A3" s="9" t="e">
        <f>IF(C3="","",MAX($A$2:A2)+1)</f>
        <v>#REF!</v>
      </c>
      <c r="B3" s="10" t="s">
        <v>0</v>
      </c>
      <c r="C3" s="11">
        <v>46082</v>
      </c>
      <c r="D3" s="11" t="str">
        <f>_xlfn.XLOOKUP([1]!Table134526_79101120212223242526[[#This Row],[Name Surname]],[1]Manpower!$C$4:$C$1048576,[1]Manpower!$B$4:$B$1048576,"")</f>
        <v>Encogroup</v>
      </c>
      <c r="E3" s="11" t="s">
        <v>8</v>
      </c>
      <c r="F3" s="12">
        <f>_xlfn.XLOOKUP([1]!Table134526_79101120212223242526[[#This Row],[Name Surname]],[1]Manpower!C:C,[1]Manpower!D:D,)</f>
        <v>127414586</v>
      </c>
      <c r="G3" s="11" t="str">
        <f>_xlfn.XLOOKUP([1]!Table134526_79101120212223242526[[#This Row],[Name Surname]],[1]Manpower!$C$4:$C$1048576,[1]Manpower!$F$4:$F$1048576,"")</f>
        <v>Electrician</v>
      </c>
      <c r="H3" s="11" t="str">
        <f>_xlfn.XLOOKUP([1]!Table134526_79101120212223242526[[#This Row],[Name Surname]],[1]Manpower!$C$4:$C$1048576,[1]Manpower!$H$4:$H$1048576,"")</f>
        <v>Manpower</v>
      </c>
      <c r="I3" s="11" t="str">
        <f>_xlfn.XLOOKUP([1]!Table134526_79101120212223242526[[#This Row],[Name Surname]],[1]Manpower!$C$4:$C$1048576,[1]Manpower!$H$4:$H$1048576,"")</f>
        <v>Manpower</v>
      </c>
      <c r="J3" s="13" t="s">
        <v>9</v>
      </c>
      <c r="K3" s="13" t="s">
        <v>7</v>
      </c>
      <c r="L3" s="13" t="s">
        <v>10</v>
      </c>
      <c r="M3" s="13" t="s">
        <v>5</v>
      </c>
      <c r="N3" s="14">
        <v>8</v>
      </c>
      <c r="O3" s="13" t="s">
        <v>11</v>
      </c>
      <c r="P3" s="13" t="s">
        <v>12</v>
      </c>
      <c r="Q3" s="13" t="s">
        <v>13</v>
      </c>
      <c r="R3" s="13" t="s">
        <v>14</v>
      </c>
      <c r="S3" s="15"/>
    </row>
    <row r="4" spans="1:19" x14ac:dyDescent="0.3">
      <c r="A4" s="1" t="e">
        <f>IF(C4="","",MAX($A$2:A3)+1)</f>
        <v>#REF!</v>
      </c>
      <c r="B4" s="10" t="s">
        <v>0</v>
      </c>
      <c r="C4" s="3">
        <v>46082</v>
      </c>
      <c r="D4" s="3" t="str">
        <f>_xlfn.XLOOKUP([1]!Table134526_79101120212223242526[[#This Row],[Name Surname]],[1]Manpower!$C$4:$C$1048576,[1]Manpower!$B$4:$B$1048576,"")</f>
        <v>Encogroup</v>
      </c>
      <c r="E4" s="3" t="s">
        <v>15</v>
      </c>
      <c r="F4" s="4">
        <f>_xlfn.XLOOKUP([1]!Table134526_79101120212223242526[[#This Row],[Name Surname]],[1]Manpower!C:C,[1]Manpower!D:D,)</f>
        <v>127331574</v>
      </c>
      <c r="G4" s="3" t="str">
        <f>_xlfn.XLOOKUP([1]!Table134526_79101120212223242526[[#This Row],[Name Surname]],[1]Manpower!$C$4:$C$1048576,[1]Manpower!$F$4:$F$1048576,"")</f>
        <v>Permit Receiver</v>
      </c>
      <c r="H4" s="3" t="str">
        <f>_xlfn.XLOOKUP([1]!Table134526_79101120212223242526[[#This Row],[Name Surname]],[1]Manpower!$C$4:$C$1048576,[1]Manpower!$H$4:$H$1048576,"")</f>
        <v>Manpower</v>
      </c>
      <c r="I4" s="3" t="str">
        <f>_xlfn.XLOOKUP([1]!Table134526_79101120212223242526[[#This Row],[Name Surname]],[1]Manpower!$C$4:$C$1048576,[1]Manpower!$H$4:$H$1048576,"")</f>
        <v>Manpower</v>
      </c>
      <c r="J4" s="5" t="s">
        <v>9</v>
      </c>
      <c r="K4" s="5" t="s">
        <v>7</v>
      </c>
      <c r="L4" s="5" t="s">
        <v>10</v>
      </c>
      <c r="M4" s="5" t="s">
        <v>5</v>
      </c>
      <c r="N4" s="6">
        <v>8</v>
      </c>
      <c r="O4" s="5" t="s">
        <v>6</v>
      </c>
      <c r="P4" s="5" t="s">
        <v>12</v>
      </c>
      <c r="Q4" s="5" t="s">
        <v>12</v>
      </c>
      <c r="R4" s="5" t="s">
        <v>16</v>
      </c>
      <c r="S4" s="8"/>
    </row>
    <row r="5" spans="1:19" x14ac:dyDescent="0.3">
      <c r="A5" s="9" t="e">
        <f>IF(C5="","",MAX($A$2:A4)+1)</f>
        <v>#REF!</v>
      </c>
      <c r="B5" s="10" t="s">
        <v>0</v>
      </c>
      <c r="C5" s="11">
        <v>46082</v>
      </c>
      <c r="D5" s="11" t="str">
        <f>_xlfn.XLOOKUP([1]!Table134526_79101120212223242526[[#This Row],[Name Surname]],[1]Manpower!$C$4:$C$1048576,[1]Manpower!$B$4:$B$1048576,"")</f>
        <v>Encogroup</v>
      </c>
      <c r="E5" s="11" t="s">
        <v>17</v>
      </c>
      <c r="F5" s="12">
        <f>_xlfn.XLOOKUP([1]!Table134526_79101120212223242526[[#This Row],[Name Surname]],[1]Manpower!C:C,[1]Manpower!D:D,)</f>
        <v>116589569</v>
      </c>
      <c r="G5" s="11" t="str">
        <f>_xlfn.XLOOKUP([1]!Table134526_79101120212223242526[[#This Row],[Name Surname]],[1]Manpower!$C$4:$C$1048576,[1]Manpower!$F$4:$F$1048576,"")</f>
        <v>Mechanical Engineer</v>
      </c>
      <c r="H5" s="11" t="str">
        <f>_xlfn.XLOOKUP([1]!Table134526_79101120212223242526[[#This Row],[Name Surname]],[1]Manpower!$C$4:$C$1048576,[1]Manpower!$H$4:$H$1048576,"")</f>
        <v>Manpower</v>
      </c>
      <c r="I5" s="11" t="str">
        <f>_xlfn.XLOOKUP([1]!Table134526_79101120212223242526[[#This Row],[Name Surname]],[1]Manpower!$C$4:$C$1048576,[1]Manpower!$H$4:$H$1048576,"")</f>
        <v>Manpower</v>
      </c>
      <c r="J5" s="13" t="s">
        <v>9</v>
      </c>
      <c r="K5" s="13" t="s">
        <v>7</v>
      </c>
      <c r="L5" s="13" t="s">
        <v>10</v>
      </c>
      <c r="M5" s="13" t="s">
        <v>18</v>
      </c>
      <c r="N5" s="14">
        <v>8</v>
      </c>
      <c r="O5" s="13" t="s">
        <v>6</v>
      </c>
      <c r="P5" s="13" t="s">
        <v>12</v>
      </c>
      <c r="Q5" s="13" t="s">
        <v>12</v>
      </c>
      <c r="R5" s="13" t="s">
        <v>19</v>
      </c>
      <c r="S5" s="15"/>
    </row>
    <row r="6" spans="1:19" x14ac:dyDescent="0.3">
      <c r="A6" s="1" t="e">
        <f>IF(C6="","",MAX($A$2:A5)+1)</f>
        <v>#REF!</v>
      </c>
      <c r="B6" s="10" t="s">
        <v>0</v>
      </c>
      <c r="C6" s="3">
        <v>46082</v>
      </c>
      <c r="D6" s="3" t="str">
        <f>_xlfn.XLOOKUP([1]!Table134526_79101120212223242526[[#This Row],[Name Surname]],[1]Manpower!$C$4:$C$1048576,[1]Manpower!$B$4:$B$1048576,"")</f>
        <v>Encogroup</v>
      </c>
      <c r="E6" s="3" t="s">
        <v>20</v>
      </c>
      <c r="F6" s="4">
        <f>_xlfn.XLOOKUP([1]!Table134526_79101120212223242526[[#This Row],[Name Surname]],[1]Manpower!C:C,[1]Manpower!D:D,)</f>
        <v>99596058</v>
      </c>
      <c r="G6" s="3" t="str">
        <f>_xlfn.XLOOKUP([1]!Table134526_79101120212223242526[[#This Row],[Name Surname]],[1]Manpower!$C$4:$C$1048576,[1]Manpower!$F$4:$F$1048576,"")</f>
        <v>HSE Officer</v>
      </c>
      <c r="H6" s="3" t="str">
        <f>_xlfn.XLOOKUP([1]!Table134526_79101120212223242526[[#This Row],[Name Surname]],[1]Manpower!$C$4:$C$1048576,[1]Manpower!$H$4:$H$1048576,"")</f>
        <v>Manpower</v>
      </c>
      <c r="I6" s="3" t="str">
        <f>_xlfn.XLOOKUP([1]!Table134526_79101120212223242526[[#This Row],[Name Surname]],[1]Manpower!$C$4:$C$1048576,[1]Manpower!$H$4:$H$1048576,"")</f>
        <v>Manpower</v>
      </c>
      <c r="J6" s="5" t="s">
        <v>9</v>
      </c>
      <c r="K6" s="5" t="s">
        <v>7</v>
      </c>
      <c r="L6" s="5" t="s">
        <v>10</v>
      </c>
      <c r="M6" s="5" t="s">
        <v>5</v>
      </c>
      <c r="N6" s="6">
        <v>8</v>
      </c>
      <c r="O6" s="5" t="s">
        <v>6</v>
      </c>
      <c r="P6" s="5" t="s">
        <v>12</v>
      </c>
      <c r="Q6" s="5" t="s">
        <v>12</v>
      </c>
      <c r="R6" s="5" t="s">
        <v>16</v>
      </c>
      <c r="S6" s="8"/>
    </row>
    <row r="7" spans="1:19" x14ac:dyDescent="0.3">
      <c r="A7" s="9" t="e">
        <f>IF(C7="","",MAX($A$2:A6)+1)</f>
        <v>#REF!</v>
      </c>
      <c r="B7" s="16" t="s">
        <v>21</v>
      </c>
      <c r="C7" s="11">
        <v>46082</v>
      </c>
      <c r="D7" s="11" t="str">
        <f>_xlfn.XLOOKUP([1]!Table134526_79101120212223242526[[#This Row],[Name Surname]],[1]Manpower!$C$4:$C$1048576,[1]Manpower!$B$4:$B$1048576,"")</f>
        <v>Encogroup</v>
      </c>
      <c r="E7" s="11" t="s">
        <v>22</v>
      </c>
      <c r="F7" s="12">
        <f>_xlfn.XLOOKUP([1]!Table134526_79101120212223242526[[#This Row],[Name Surname]],[1]Manpower!C:C,[1]Manpower!D:D,)</f>
        <v>140697039</v>
      </c>
      <c r="G7" s="11" t="str">
        <f>_xlfn.XLOOKUP([1]!Table134526_79101120212223242526[[#This Row],[Name Surname]],[1]Manpower!$C$4:$C$1048576,[1]Manpower!$F$4:$F$1048576,"")</f>
        <v>Fitter/Erector</v>
      </c>
      <c r="H7" s="11" t="str">
        <f>_xlfn.XLOOKUP([1]!Table134526_79101120212223242526[[#This Row],[Name Surname]],[1]Manpower!$C$4:$C$1048576,[1]Manpower!$H$4:$H$1048576,"")</f>
        <v>Manpower</v>
      </c>
      <c r="I7" s="11" t="str">
        <f>_xlfn.XLOOKUP([1]!Table134526_79101120212223242526[[#This Row],[Name Surname]],[1]Manpower!$C$4:$C$1048576,[1]Manpower!$H$4:$H$1048576,"")</f>
        <v>Manpower</v>
      </c>
      <c r="J7" s="13" t="s">
        <v>23</v>
      </c>
      <c r="K7" s="13" t="s">
        <v>24</v>
      </c>
      <c r="L7" s="13" t="s">
        <v>25</v>
      </c>
      <c r="M7" s="13" t="s">
        <v>5</v>
      </c>
      <c r="N7" s="14">
        <v>8</v>
      </c>
      <c r="O7" s="13" t="s">
        <v>6</v>
      </c>
      <c r="P7" s="13" t="s">
        <v>12</v>
      </c>
      <c r="Q7" s="13" t="s">
        <v>26</v>
      </c>
      <c r="R7" s="13" t="s">
        <v>27</v>
      </c>
      <c r="S7" s="15"/>
    </row>
    <row r="8" spans="1:19" x14ac:dyDescent="0.3">
      <c r="A8" s="1" t="e">
        <f>IF(C8="","",MAX($A$2:A7)+1)</f>
        <v>#REF!</v>
      </c>
      <c r="B8" s="16" t="s">
        <v>21</v>
      </c>
      <c r="C8" s="3">
        <v>46082</v>
      </c>
      <c r="D8" s="3" t="str">
        <f>_xlfn.XLOOKUP([1]!Table134526_79101120212223242526[[#This Row],[Name Surname]],[1]Manpower!$C$4:$C$1048576,[1]Manpower!$B$4:$B$1048576,"")</f>
        <v>Encogroup</v>
      </c>
      <c r="E8" s="3" t="s">
        <v>28</v>
      </c>
      <c r="F8" s="4">
        <f>_xlfn.XLOOKUP([1]!Table134526_79101120212223242526[[#This Row],[Name Surname]],[1]Manpower!C:C,[1]Manpower!D:D,)</f>
        <v>124565057</v>
      </c>
      <c r="G8" s="3" t="str">
        <f>_xlfn.XLOOKUP([1]!Table134526_79101120212223242526[[#This Row],[Name Surname]],[1]Manpower!$C$4:$C$1048576,[1]Manpower!$F$4:$F$1048576,"")</f>
        <v>Fitter/Erector</v>
      </c>
      <c r="H8" s="3" t="str">
        <f>_xlfn.XLOOKUP([1]!Table134526_79101120212223242526[[#This Row],[Name Surname]],[1]Manpower!$C$4:$C$1048576,[1]Manpower!$H$4:$H$1048576,"")</f>
        <v>Manpower</v>
      </c>
      <c r="I8" s="3" t="str">
        <f>_xlfn.XLOOKUP([1]!Table134526_79101120212223242526[[#This Row],[Name Surname]],[1]Manpower!$C$4:$C$1048576,[1]Manpower!$H$4:$H$1048576,"")</f>
        <v>Manpower</v>
      </c>
      <c r="J8" s="5" t="s">
        <v>23</v>
      </c>
      <c r="K8" s="5" t="s">
        <v>24</v>
      </c>
      <c r="L8" s="5" t="s">
        <v>25</v>
      </c>
      <c r="M8" s="5" t="s">
        <v>5</v>
      </c>
      <c r="N8" s="6">
        <v>8</v>
      </c>
      <c r="O8" s="5" t="s">
        <v>6</v>
      </c>
      <c r="P8" s="5" t="s">
        <v>29</v>
      </c>
      <c r="Q8" s="5" t="s">
        <v>26</v>
      </c>
      <c r="R8" s="5" t="s">
        <v>30</v>
      </c>
      <c r="S8" s="8"/>
    </row>
    <row r="9" spans="1:19" x14ac:dyDescent="0.3">
      <c r="A9" s="9" t="e">
        <f>IF(C9="","",MAX($A$2:A8)+1)</f>
        <v>#REF!</v>
      </c>
      <c r="B9" s="16" t="s">
        <v>21</v>
      </c>
      <c r="C9" s="11">
        <v>46082</v>
      </c>
      <c r="D9" s="11" t="str">
        <f>_xlfn.XLOOKUP([1]!Table134526_79101120212223242526[[#This Row],[Name Surname]],[1]Manpower!$C$4:$C$1048576,[1]Manpower!$B$4:$B$1048576,"")</f>
        <v>Encogroup</v>
      </c>
      <c r="E9" s="11" t="s">
        <v>31</v>
      </c>
      <c r="F9" s="12">
        <f>_xlfn.XLOOKUP([1]!Table134526_79101120212223242526[[#This Row],[Name Surname]],[1]Manpower!C:C,[1]Manpower!D:D,)</f>
        <v>141365023</v>
      </c>
      <c r="G9" s="11" t="str">
        <f>_xlfn.XLOOKUP([1]!Table134526_79101120212223242526[[#This Row],[Name Surname]],[1]Manpower!$C$4:$C$1048576,[1]Manpower!$F$4:$F$1048576,"")</f>
        <v>Grinder</v>
      </c>
      <c r="H9" s="11" t="str">
        <f>_xlfn.XLOOKUP([1]!Table134526_79101120212223242526[[#This Row],[Name Surname]],[1]Manpower!$C$4:$C$1048576,[1]Manpower!$H$4:$H$1048576,"")</f>
        <v>Manpower</v>
      </c>
      <c r="I9" s="11" t="str">
        <f>_xlfn.XLOOKUP([1]!Table134526_79101120212223242526[[#This Row],[Name Surname]],[1]Manpower!$C$4:$C$1048576,[1]Manpower!$H$4:$H$1048576,"")</f>
        <v>Manpower</v>
      </c>
      <c r="J9" s="13" t="s">
        <v>23</v>
      </c>
      <c r="K9" s="13" t="s">
        <v>24</v>
      </c>
      <c r="L9" s="13" t="s">
        <v>25</v>
      </c>
      <c r="M9" s="13" t="s">
        <v>5</v>
      </c>
      <c r="N9" s="14">
        <v>8</v>
      </c>
      <c r="O9" s="13" t="s">
        <v>11</v>
      </c>
      <c r="P9" s="13" t="s">
        <v>12</v>
      </c>
      <c r="Q9" s="13" t="s">
        <v>13</v>
      </c>
      <c r="R9" s="13" t="s">
        <v>27</v>
      </c>
      <c r="S9" s="15"/>
    </row>
    <row r="10" spans="1:19" x14ac:dyDescent="0.3">
      <c r="A10" s="1" t="e">
        <f>IF(C10="","",MAX($A$2:A9)+1)</f>
        <v>#REF!</v>
      </c>
      <c r="B10" s="16" t="s">
        <v>21</v>
      </c>
      <c r="C10" s="3">
        <v>46082</v>
      </c>
      <c r="D10" s="3" t="str">
        <f>_xlfn.XLOOKUP([1]!Table134526_79101120212223242526[[#This Row],[Name Surname]],[1]Manpower!$C$4:$C$1048576,[1]Manpower!$B$4:$B$1048576,"")</f>
        <v>AL Omar International TRAD AND CONT</v>
      </c>
      <c r="E10" s="3" t="s">
        <v>32</v>
      </c>
      <c r="F10" s="4">
        <f>_xlfn.XLOOKUP([1]!Table134526_79101120212223242526[[#This Row],[Name Surname]],[1]Manpower!C:C,[1]Manpower!D:D,)</f>
        <v>114929202</v>
      </c>
      <c r="G10" s="3" t="str">
        <f>_xlfn.XLOOKUP([1]!Table134526_79101120212223242526[[#This Row],[Name Surname]],[1]Manpower!$C$4:$C$1048576,[1]Manpower!$F$4:$F$1048576,"")</f>
        <v>RIgger</v>
      </c>
      <c r="H10" s="3" t="str">
        <f>_xlfn.XLOOKUP([1]!Table134526_79101120212223242526[[#This Row],[Name Surname]],[1]Manpower!$C$4:$C$1048576,[1]Manpower!$H$4:$H$1048576,"")</f>
        <v>Sub Contactor</v>
      </c>
      <c r="I10" s="3" t="str">
        <f>_xlfn.XLOOKUP([1]!Table134526_79101120212223242526[[#This Row],[Name Surname]],[1]Manpower!$C$4:$C$1048576,[1]Manpower!$H$4:$H$1048576,"")</f>
        <v>Sub Contactor</v>
      </c>
      <c r="J10" s="5" t="s">
        <v>23</v>
      </c>
      <c r="K10" s="5" t="s">
        <v>24</v>
      </c>
      <c r="L10" s="5" t="s">
        <v>25</v>
      </c>
      <c r="M10" s="5" t="s">
        <v>5</v>
      </c>
      <c r="N10" s="6">
        <v>10</v>
      </c>
      <c r="O10" s="5" t="s">
        <v>33</v>
      </c>
      <c r="P10" s="5" t="s">
        <v>33</v>
      </c>
      <c r="Q10" s="5" t="s">
        <v>33</v>
      </c>
      <c r="R10" s="5" t="s">
        <v>7</v>
      </c>
      <c r="S10" s="8"/>
    </row>
    <row r="11" spans="1:19" x14ac:dyDescent="0.3">
      <c r="A11" s="9" t="e">
        <f>IF(C11="","",MAX($A$2:A9)+1)</f>
        <v>#REF!</v>
      </c>
      <c r="B11" s="16" t="s">
        <v>21</v>
      </c>
      <c r="C11" s="11">
        <v>46082</v>
      </c>
      <c r="D11" s="11" t="str">
        <f>_xlfn.XLOOKUP([1]!Table134526_79101120212223242526[[#This Row],[Name Surname]],[1]Manpower!$C$4:$C$1048576,[1]Manpower!$B$4:$B$1048576,"")</f>
        <v>Encogroup</v>
      </c>
      <c r="E11" s="11" t="s">
        <v>34</v>
      </c>
      <c r="F11" s="12">
        <f>_xlfn.XLOOKUP([1]!Table134526_79101120212223242526[[#This Row],[Name Surname]],[1]Manpower!C:C,[1]Manpower!D:D,)</f>
        <v>140742088</v>
      </c>
      <c r="G11" s="11" t="str">
        <f>_xlfn.XLOOKUP([1]!Table134526_79101120212223242526[[#This Row],[Name Surname]],[1]Manpower!$C$4:$C$1048576,[1]Manpower!$F$4:$F$1048576,"")</f>
        <v>Fitter/Erector</v>
      </c>
      <c r="H11" s="11" t="str">
        <f>_xlfn.XLOOKUP([1]!Table134526_79101120212223242526[[#This Row],[Name Surname]],[1]Manpower!$C$4:$C$1048576,[1]Manpower!$H$4:$H$1048576,"")</f>
        <v>Manpower</v>
      </c>
      <c r="I11" s="11" t="str">
        <f>_xlfn.XLOOKUP([1]!Table134526_79101120212223242526[[#This Row],[Name Surname]],[1]Manpower!$C$4:$C$1048576,[1]Manpower!$H$4:$H$1048576,"")</f>
        <v>Manpower</v>
      </c>
      <c r="J11" s="13" t="s">
        <v>23</v>
      </c>
      <c r="K11" s="13" t="s">
        <v>24</v>
      </c>
      <c r="L11" s="13" t="s">
        <v>25</v>
      </c>
      <c r="M11" s="13" t="s">
        <v>5</v>
      </c>
      <c r="N11" s="14">
        <v>8</v>
      </c>
      <c r="O11" s="13" t="s">
        <v>35</v>
      </c>
      <c r="P11" s="13" t="s">
        <v>35</v>
      </c>
      <c r="Q11" s="13" t="s">
        <v>35</v>
      </c>
      <c r="R11" s="13" t="s">
        <v>7</v>
      </c>
      <c r="S11" s="15"/>
    </row>
    <row r="12" spans="1:19" x14ac:dyDescent="0.3">
      <c r="A12" s="1" t="e">
        <f>IF(C12="","",MAX($A$2:A11)+1)</f>
        <v>#REF!</v>
      </c>
      <c r="B12" s="17" t="s">
        <v>36</v>
      </c>
      <c r="C12" s="3">
        <v>46082</v>
      </c>
      <c r="D12" s="3" t="str">
        <f>_xlfn.XLOOKUP([1]!Table134526_79101120212223242526[[#This Row],[Name Surname]],[1]Manpower!$C$4:$C$1048576,[1]Manpower!$B$4:$B$1048576,"")</f>
        <v>Rial Al Khaleej</v>
      </c>
      <c r="E12" s="3" t="s">
        <v>37</v>
      </c>
      <c r="F12" s="4">
        <f>_xlfn.XLOOKUP([1]!Table134526_79101120212223242526[[#This Row],[Name Surname]],[1]Manpower!C:C,[1]Manpower!D:D,)</f>
        <v>98845403</v>
      </c>
      <c r="G12" s="3" t="str">
        <f>_xlfn.XLOOKUP([1]!Table134526_79101120212223242526[[#This Row],[Name Surname]],[1]Manpower!$C$4:$C$1048576,[1]Manpower!$F$4:$F$1048576,"")</f>
        <v>Crane Operator-100T Zoomlion Telescopic</v>
      </c>
      <c r="H12" s="3" t="str">
        <f>_xlfn.XLOOKUP([1]!Table134526_79101120212223242526[[#This Row],[Name Surname]],[1]Manpower!$C$4:$C$1048576,[1]Manpower!$H$4:$H$1048576,"")</f>
        <v>Manpower</v>
      </c>
      <c r="I12" s="3" t="str">
        <f>_xlfn.XLOOKUP([1]!Table134526_79101120212223242526[[#This Row],[Name Surname]],[1]Manpower!$C$4:$C$1048576,[1]Manpower!$H$4:$H$1048576,"")</f>
        <v>Manpower</v>
      </c>
      <c r="J12" s="5" t="s">
        <v>38</v>
      </c>
      <c r="K12" s="5" t="s">
        <v>7</v>
      </c>
      <c r="L12" s="5" t="s">
        <v>39</v>
      </c>
      <c r="M12" s="5" t="s">
        <v>5</v>
      </c>
      <c r="N12" s="6">
        <v>8</v>
      </c>
      <c r="O12" s="5" t="s">
        <v>33</v>
      </c>
      <c r="P12" s="5" t="s">
        <v>33</v>
      </c>
      <c r="Q12" s="5" t="s">
        <v>33</v>
      </c>
      <c r="R12" s="5" t="s">
        <v>7</v>
      </c>
      <c r="S12" s="8"/>
    </row>
    <row r="13" spans="1:19" x14ac:dyDescent="0.3">
      <c r="A13" s="9" t="e">
        <f>IF(C13="","",MAX($A$2:A12)+1)</f>
        <v>#REF!</v>
      </c>
      <c r="B13" s="17" t="s">
        <v>36</v>
      </c>
      <c r="C13" s="11">
        <v>46082</v>
      </c>
      <c r="D13" s="11" t="str">
        <f>_xlfn.XLOOKUP([1]!Table134526_79101120212223242526[[#This Row],[Name Surname]],[1]Manpower!$C$4:$C$1048576,[1]Manpower!$B$4:$B$1048576,"")</f>
        <v>Encogroup</v>
      </c>
      <c r="E13" s="11" t="s">
        <v>40</v>
      </c>
      <c r="F13" s="12">
        <f>_xlfn.XLOOKUP([1]!Table134526_79101120212223242526[[#This Row],[Name Surname]],[1]Manpower!C:C,[1]Manpower!D:D,)</f>
        <v>140806218</v>
      </c>
      <c r="G13" s="11" t="str">
        <f>_xlfn.XLOOKUP([1]!Table134526_79101120212223242526[[#This Row],[Name Surname]],[1]Manpower!$C$4:$C$1048576,[1]Manpower!$F$4:$F$1048576,"")</f>
        <v>Fitter/Erector</v>
      </c>
      <c r="H13" s="11" t="str">
        <f>_xlfn.XLOOKUP([1]!Table134526_79101120212223242526[[#This Row],[Name Surname]],[1]Manpower!$C$4:$C$1048576,[1]Manpower!$H$4:$H$1048576,"")</f>
        <v>Manpower</v>
      </c>
      <c r="I13" s="11" t="str">
        <f>_xlfn.XLOOKUP([1]!Table134526_79101120212223242526[[#This Row],[Name Surname]],[1]Manpower!$C$4:$C$1048576,[1]Manpower!$H$4:$H$1048576,"")</f>
        <v>Manpower</v>
      </c>
      <c r="J13" s="13" t="s">
        <v>38</v>
      </c>
      <c r="K13" s="13" t="s">
        <v>7</v>
      </c>
      <c r="L13" s="13" t="s">
        <v>39</v>
      </c>
      <c r="M13" s="13" t="s">
        <v>5</v>
      </c>
      <c r="N13" s="14">
        <v>8</v>
      </c>
      <c r="O13" s="13" t="s">
        <v>33</v>
      </c>
      <c r="P13" s="13" t="s">
        <v>33</v>
      </c>
      <c r="Q13" s="13" t="s">
        <v>33</v>
      </c>
      <c r="R13" s="13" t="s">
        <v>7</v>
      </c>
      <c r="S13" s="15"/>
    </row>
    <row r="14" spans="1:19" x14ac:dyDescent="0.3">
      <c r="A14" s="1" t="e">
        <f>IF(C14="","",MAX($A$2:A12)+1)</f>
        <v>#REF!</v>
      </c>
      <c r="B14" s="17" t="s">
        <v>36</v>
      </c>
      <c r="C14" s="3">
        <v>46082</v>
      </c>
      <c r="D14" s="3" t="str">
        <f>_xlfn.XLOOKUP([1]!Table134526_79101120212223242526[[#This Row],[Name Surname]],[1]Manpower!$C$4:$C$1048576,[1]Manpower!$B$4:$B$1048576,"")</f>
        <v>Encogroup</v>
      </c>
      <c r="E14" s="3" t="s">
        <v>41</v>
      </c>
      <c r="F14" s="4">
        <f>_xlfn.XLOOKUP([1]!Table134526_79101120212223242526[[#This Row],[Name Surname]],[1]Manpower!C:C,[1]Manpower!D:D,)</f>
        <v>140844618</v>
      </c>
      <c r="G14" s="3" t="str">
        <f>_xlfn.XLOOKUP([1]!Table134526_79101120212223242526[[#This Row],[Name Surname]],[1]Manpower!$C$4:$C$1048576,[1]Manpower!$F$4:$F$1048576,"")</f>
        <v>Assistant/Helper</v>
      </c>
      <c r="H14" s="3" t="str">
        <f>_xlfn.XLOOKUP([1]!Table134526_79101120212223242526[[#This Row],[Name Surname]],[1]Manpower!$C$4:$C$1048576,[1]Manpower!$H$4:$H$1048576,"")</f>
        <v>Manpower</v>
      </c>
      <c r="I14" s="3" t="str">
        <f>_xlfn.XLOOKUP([1]!Table134526_79101120212223242526[[#This Row],[Name Surname]],[1]Manpower!$C$4:$C$1048576,[1]Manpower!$H$4:$H$1048576,"")</f>
        <v>Manpower</v>
      </c>
      <c r="J14" s="5" t="s">
        <v>38</v>
      </c>
      <c r="K14" s="5" t="s">
        <v>7</v>
      </c>
      <c r="L14" s="5" t="s">
        <v>39</v>
      </c>
      <c r="M14" s="5" t="s">
        <v>18</v>
      </c>
      <c r="N14" s="6">
        <v>8</v>
      </c>
      <c r="O14" s="5"/>
      <c r="P14" s="5"/>
      <c r="Q14" s="5"/>
      <c r="R14" s="5" t="s">
        <v>42</v>
      </c>
      <c r="S14" s="8"/>
    </row>
    <row r="15" spans="1:19" x14ac:dyDescent="0.3">
      <c r="A15" s="9" t="e">
        <f>IF(C15="","",MAX($A$2:A14)+1)</f>
        <v>#REF!</v>
      </c>
      <c r="B15" s="17" t="s">
        <v>36</v>
      </c>
      <c r="C15" s="11">
        <v>46082</v>
      </c>
      <c r="D15" s="11" t="str">
        <f>_xlfn.XLOOKUP([1]!Table134526_79101120212223242526[[#This Row],[Name Surname]],[1]Manpower!$C$4:$C$1048576,[1]Manpower!$B$4:$B$1048576,"")</f>
        <v>Bright Light</v>
      </c>
      <c r="E15" s="11" t="s">
        <v>43</v>
      </c>
      <c r="F15" s="12" t="e">
        <f>_xlfn.XLOOKUP([1]!Table134526_79101120212223242526[[#This Row],[Name Surname]],[1]Manpower!C:C,[1]Manpower!D:D,)</f>
        <v>#N/A</v>
      </c>
      <c r="G15" s="11" t="str">
        <f>_xlfn.XLOOKUP([1]!Table134526_79101120212223242526[[#This Row],[Name Surname]],[1]Manpower!$C$4:$C$1048576,[1]Manpower!$F$4:$F$1048576,"")</f>
        <v>100T Telescopic Crane</v>
      </c>
      <c r="H15" s="11" t="str">
        <f>_xlfn.XLOOKUP([1]!Table134526_79101120212223242526[[#This Row],[Name Surname]],[1]Manpower!$C$4:$C$1048576,[1]Manpower!$H$4:$H$1048576,"")</f>
        <v>Equipment</v>
      </c>
      <c r="I15" s="11" t="str">
        <f>_xlfn.XLOOKUP([1]!Table134526_79101120212223242526[[#This Row],[Name Surname]],[1]Manpower!$C$4:$C$1048576,[1]Manpower!$H$4:$H$1048576,"")</f>
        <v>Equipment</v>
      </c>
      <c r="J15" s="13" t="s">
        <v>38</v>
      </c>
      <c r="K15" s="13" t="s">
        <v>7</v>
      </c>
      <c r="L15" s="13" t="s">
        <v>39</v>
      </c>
      <c r="M15" s="13" t="s">
        <v>5</v>
      </c>
      <c r="N15" s="14">
        <v>8</v>
      </c>
      <c r="O15" s="13" t="s">
        <v>11</v>
      </c>
      <c r="P15" s="13" t="s">
        <v>13</v>
      </c>
      <c r="Q15" s="13" t="s">
        <v>13</v>
      </c>
      <c r="R15" s="13" t="s">
        <v>44</v>
      </c>
      <c r="S15" s="15"/>
    </row>
    <row r="16" spans="1:19" x14ac:dyDescent="0.3">
      <c r="A16" s="1" t="e">
        <f>IF(C16="","",MAX($A$2:A15)+1)</f>
        <v>#REF!</v>
      </c>
      <c r="B16" s="17" t="s">
        <v>36</v>
      </c>
      <c r="C16" s="3">
        <v>46082</v>
      </c>
      <c r="D16" s="3" t="str">
        <f>_xlfn.XLOOKUP([1]!Table134526_79101120212223242526[[#This Row],[Name Surname]],[1]Manpower!$C$4:$C$1048576,[1]Manpower!$B$4:$B$1048576,"")</f>
        <v>Bright Light</v>
      </c>
      <c r="E16" s="3" t="s">
        <v>45</v>
      </c>
      <c r="F16" s="4" t="e">
        <f>_xlfn.XLOOKUP([1]!Table134526_79101120212223242526[[#This Row],[Name Surname]],[1]Manpower!C:C,[1]Manpower!D:D,)</f>
        <v>#N/A</v>
      </c>
      <c r="G16" s="3" t="str">
        <f>_xlfn.XLOOKUP([1]!Table134526_79101120212223242526[[#This Row],[Name Surname]],[1]Manpower!$C$4:$C$1048576,[1]Manpower!$F$4:$F$1048576,"")</f>
        <v>150T-Crawler Crane</v>
      </c>
      <c r="H16" s="3" t="str">
        <f>_xlfn.XLOOKUP([1]!Table134526_79101120212223242526[[#This Row],[Name Surname]],[1]Manpower!$C$4:$C$1048576,[1]Manpower!$H$4:$H$1048576,"")</f>
        <v>Equipment</v>
      </c>
      <c r="I16" s="3" t="str">
        <f>_xlfn.XLOOKUP([1]!Table134526_79101120212223242526[[#This Row],[Name Surname]],[1]Manpower!$C$4:$C$1048576,[1]Manpower!$H$4:$H$1048576,"")</f>
        <v>Equipment</v>
      </c>
      <c r="J16" s="5" t="s">
        <v>38</v>
      </c>
      <c r="K16" s="5" t="s">
        <v>7</v>
      </c>
      <c r="L16" s="5" t="s">
        <v>39</v>
      </c>
      <c r="M16" s="5" t="s">
        <v>5</v>
      </c>
      <c r="N16" s="6">
        <v>8</v>
      </c>
      <c r="O16" s="5" t="s">
        <v>11</v>
      </c>
      <c r="P16" s="5" t="s">
        <v>11</v>
      </c>
      <c r="Q16" s="5" t="s">
        <v>11</v>
      </c>
      <c r="R16" s="5" t="s">
        <v>7</v>
      </c>
      <c r="S16" s="8"/>
    </row>
    <row r="17" spans="1:19" x14ac:dyDescent="0.3">
      <c r="A17" s="9" t="e">
        <f>IF(C17="","",MAX($A$2:A16)+1)</f>
        <v>#REF!</v>
      </c>
      <c r="B17" s="17" t="s">
        <v>36</v>
      </c>
      <c r="C17" s="11">
        <v>46082</v>
      </c>
      <c r="D17" s="11" t="str">
        <f>_xlfn.XLOOKUP([1]!Table134526_79101120212223242526[[#This Row],[Name Surname]],[1]Manpower!$C$4:$C$1048576,[1]Manpower!$B$4:$B$1048576,"")</f>
        <v>Encogroup</v>
      </c>
      <c r="E17" s="11" t="s">
        <v>46</v>
      </c>
      <c r="F17" s="12" t="e">
        <f>_xlfn.XLOOKUP([1]!Table134526_79101120212223242526[[#This Row],[Name Surname]],[1]Manpower!C:C,[1]Manpower!D:D,)</f>
        <v>#N/A</v>
      </c>
      <c r="G17" s="11" t="str">
        <f>_xlfn.XLOOKUP([1]!Table134526_79101120212223242526[[#This Row],[Name Surname]],[1]Manpower!$C$4:$C$1048576,[1]Manpower!$F$4:$F$1048576,"")</f>
        <v>22M-Manlift</v>
      </c>
      <c r="H17" s="11" t="str">
        <f>_xlfn.XLOOKUP([1]!Table134526_79101120212223242526[[#This Row],[Name Surname]],[1]Manpower!$C$4:$C$1048576,[1]Manpower!$H$4:$H$1048576,"")</f>
        <v>Equipment</v>
      </c>
      <c r="I17" s="11" t="str">
        <f>_xlfn.XLOOKUP([1]!Table134526_79101120212223242526[[#This Row],[Name Surname]],[1]Manpower!$C$4:$C$1048576,[1]Manpower!$H$4:$H$1048576,"")</f>
        <v>Equipment</v>
      </c>
      <c r="J17" s="13" t="s">
        <v>38</v>
      </c>
      <c r="K17" s="13" t="s">
        <v>7</v>
      </c>
      <c r="L17" s="13" t="s">
        <v>39</v>
      </c>
      <c r="M17" s="13" t="s">
        <v>18</v>
      </c>
      <c r="N17" s="14">
        <v>6</v>
      </c>
      <c r="O17" s="13"/>
      <c r="P17" s="13"/>
      <c r="Q17" s="13"/>
      <c r="R17" s="13" t="s">
        <v>47</v>
      </c>
      <c r="S17" s="15"/>
    </row>
    <row r="18" spans="1:19" x14ac:dyDescent="0.3">
      <c r="A18" s="1" t="e">
        <f>IF(C18="","",MAX($A$2:A17)+1)</f>
        <v>#REF!</v>
      </c>
      <c r="B18" s="17" t="s">
        <v>36</v>
      </c>
      <c r="C18" s="3">
        <v>46082</v>
      </c>
      <c r="D18" s="3" t="str">
        <f>_xlfn.XLOOKUP([1]!Table134526_79101120212223242526[[#This Row],[Name Surname]],[1]Manpower!$C$4:$C$1048576,[1]Manpower!$B$4:$B$1048576,"")</f>
        <v>Encogroup</v>
      </c>
      <c r="E18" s="3" t="s">
        <v>48</v>
      </c>
      <c r="F18" s="4" t="e">
        <f>_xlfn.XLOOKUP([1]!Table134526_79101120212223242526[[#This Row],[Name Surname]],[1]Manpower!C:C,[1]Manpower!D:D,)</f>
        <v>#N/A</v>
      </c>
      <c r="G18" s="3" t="str">
        <f>_xlfn.XLOOKUP([1]!Table134526_79101120212223242526[[#This Row],[Name Surname]],[1]Manpower!$C$4:$C$1048576,[1]Manpower!$F$4:$F$1048576,"")</f>
        <v>28M-Manlift</v>
      </c>
      <c r="H18" s="3" t="str">
        <f>_xlfn.XLOOKUP([1]!Table134526_79101120212223242526[[#This Row],[Name Surname]],[1]Manpower!$C$4:$C$1048576,[1]Manpower!$H$4:$H$1048576,"")</f>
        <v>Equipment</v>
      </c>
      <c r="I18" s="3" t="str">
        <f>_xlfn.XLOOKUP([1]!Table134526_79101120212223242526[[#This Row],[Name Surname]],[1]Manpower!$C$4:$C$1048576,[1]Manpower!$H$4:$H$1048576,"")</f>
        <v>Equipment</v>
      </c>
      <c r="J18" s="5" t="s">
        <v>38</v>
      </c>
      <c r="K18" s="5" t="s">
        <v>7</v>
      </c>
      <c r="L18" s="5" t="s">
        <v>39</v>
      </c>
      <c r="M18" s="5" t="s">
        <v>5</v>
      </c>
      <c r="N18" s="6">
        <v>8</v>
      </c>
      <c r="O18" s="5" t="s">
        <v>33</v>
      </c>
      <c r="P18" s="5" t="s">
        <v>33</v>
      </c>
      <c r="Q18" s="5" t="s">
        <v>33</v>
      </c>
      <c r="R18" s="5" t="s">
        <v>7</v>
      </c>
      <c r="S18" s="8"/>
    </row>
    <row r="19" spans="1:19" x14ac:dyDescent="0.3">
      <c r="A19" s="9" t="e">
        <f>IF(C19="","",MAX($A$2:A18)+1)</f>
        <v>#REF!</v>
      </c>
      <c r="B19" s="17" t="s">
        <v>36</v>
      </c>
      <c r="C19" s="11">
        <v>46082</v>
      </c>
      <c r="D19" s="11" t="str">
        <f>_xlfn.XLOOKUP([1]!Table134526_79101120212223242526[[#This Row],[Name Surname]],[1]Manpower!$C$4:$C$1048576,[1]Manpower!$B$4:$B$1048576,"")</f>
        <v>Encogroup</v>
      </c>
      <c r="E19" s="11" t="s">
        <v>49</v>
      </c>
      <c r="F19" s="12">
        <f>_xlfn.XLOOKUP([1]!Table134526_79101120212223242526[[#This Row],[Name Surname]],[1]Manpower!C:C,[1]Manpower!D:D,)</f>
        <v>116589569</v>
      </c>
      <c r="G19" s="11" t="str">
        <f>_xlfn.XLOOKUP([1]!Table134526_79101120212223242526[[#This Row],[Name Surname]],[1]Manpower!$C$4:$C$1048576,[1]Manpower!$F$4:$F$1048576,"")</f>
        <v>Mechanical Engineer</v>
      </c>
      <c r="H19" s="11" t="str">
        <f>_xlfn.XLOOKUP([1]!Table134526_79101120212223242526[[#This Row],[Name Surname]],[1]Manpower!$C$4:$C$1048576,[1]Manpower!$H$4:$H$1048576,"")</f>
        <v>Manpower</v>
      </c>
      <c r="I19" s="11" t="str">
        <f>_xlfn.XLOOKUP([1]!Table134526_79101120212223242526[[#This Row],[Name Surname]],[1]Manpower!$C$4:$C$1048576,[1]Manpower!$H$4:$H$1048576,"")</f>
        <v>Manpower</v>
      </c>
      <c r="J19" s="13" t="s">
        <v>38</v>
      </c>
      <c r="K19" s="13" t="s">
        <v>7</v>
      </c>
      <c r="L19" s="13" t="s">
        <v>39</v>
      </c>
      <c r="M19" s="13" t="s">
        <v>5</v>
      </c>
      <c r="N19" s="14">
        <v>8</v>
      </c>
      <c r="O19" s="13" t="s">
        <v>33</v>
      </c>
      <c r="P19" s="13" t="s">
        <v>33</v>
      </c>
      <c r="Q19" s="13" t="s">
        <v>33</v>
      </c>
      <c r="R19" s="13" t="s">
        <v>7</v>
      </c>
      <c r="S19" s="15"/>
    </row>
    <row r="20" spans="1:19" x14ac:dyDescent="0.3">
      <c r="A20" s="1" t="e">
        <f>IF(C20="","",MAX($A$2:A19)+1)</f>
        <v>#REF!</v>
      </c>
      <c r="B20" s="17" t="s">
        <v>36</v>
      </c>
      <c r="C20" s="3">
        <v>46082</v>
      </c>
      <c r="D20" s="3" t="str">
        <f>_xlfn.XLOOKUP([1]!Table134526_79101120212223242526[[#This Row],[Name Surname]],[1]Manpower!$C$4:$C$1048576,[1]Manpower!$B$4:$B$1048576,"")</f>
        <v>Encogroup</v>
      </c>
      <c r="E20" s="3" t="s">
        <v>50</v>
      </c>
      <c r="F20" s="4">
        <f>_xlfn.XLOOKUP([1]!Table134526_79101120212223242526[[#This Row],[Name Surname]],[1]Manpower!C:C,[1]Manpower!D:D,)</f>
        <v>140693697</v>
      </c>
      <c r="G20" s="3" t="str">
        <f>_xlfn.XLOOKUP([1]!Table134526_79101120212223242526[[#This Row],[Name Surname]],[1]Manpower!$C$4:$C$1048576,[1]Manpower!$F$4:$F$1048576,"")</f>
        <v>HSE Officer</v>
      </c>
      <c r="H20" s="3" t="str">
        <f>_xlfn.XLOOKUP([1]!Table134526_79101120212223242526[[#This Row],[Name Surname]],[1]Manpower!$C$4:$C$1048576,[1]Manpower!$H$4:$H$1048576,"")</f>
        <v>Manpower</v>
      </c>
      <c r="I20" s="3" t="str">
        <f>_xlfn.XLOOKUP([1]!Table134526_79101120212223242526[[#This Row],[Name Surname]],[1]Manpower!$C$4:$C$1048576,[1]Manpower!$H$4:$H$1048576,"")</f>
        <v>Manpower</v>
      </c>
      <c r="J20" s="5" t="s">
        <v>38</v>
      </c>
      <c r="K20" s="5" t="s">
        <v>7</v>
      </c>
      <c r="L20" s="5" t="s">
        <v>39</v>
      </c>
      <c r="M20" s="5" t="s">
        <v>5</v>
      </c>
      <c r="N20" s="6">
        <v>8</v>
      </c>
      <c r="O20" s="5"/>
      <c r="P20" s="5"/>
      <c r="Q20" s="5"/>
      <c r="R20" s="5" t="s">
        <v>7</v>
      </c>
      <c r="S20" s="8"/>
    </row>
    <row r="21" spans="1:19" x14ac:dyDescent="0.3">
      <c r="A21" s="9" t="e">
        <f>IF(C21="","",MAX($A$2:A20)+1)</f>
        <v>#REF!</v>
      </c>
      <c r="B21" s="17" t="s">
        <v>36</v>
      </c>
      <c r="C21" s="11">
        <v>46082</v>
      </c>
      <c r="D21" s="11" t="str">
        <f>_xlfn.XLOOKUP([1]!Table134526_79101120212223242526[[#This Row],[Name Surname]],[1]Manpower!$C$4:$C$1048576,[1]Manpower!$B$4:$B$1048576,"")</f>
        <v>Encogroup</v>
      </c>
      <c r="E21" s="11" t="s">
        <v>51</v>
      </c>
      <c r="F21" s="12">
        <f>_xlfn.XLOOKUP([1]!Table134526_79101120212223242526[[#This Row],[Name Surname]],[1]Manpower!C:C,[1]Manpower!D:D,)</f>
        <v>127414586</v>
      </c>
      <c r="G21" s="11" t="str">
        <f>_xlfn.XLOOKUP([1]!Table134526_79101120212223242526[[#This Row],[Name Surname]],[1]Manpower!$C$4:$C$1048576,[1]Manpower!$F$4:$F$1048576,"")</f>
        <v>Electrician</v>
      </c>
      <c r="H21" s="11" t="str">
        <f>_xlfn.XLOOKUP([1]!Table134526_79101120212223242526[[#This Row],[Name Surname]],[1]Manpower!$C$4:$C$1048576,[1]Manpower!$H$4:$H$1048576,"")</f>
        <v>Manpower</v>
      </c>
      <c r="I21" s="11" t="str">
        <f>_xlfn.XLOOKUP([1]!Table134526_79101120212223242526[[#This Row],[Name Surname]],[1]Manpower!$C$4:$C$1048576,[1]Manpower!$H$4:$H$1048576,"")</f>
        <v>Manpower</v>
      </c>
      <c r="J21" s="13" t="s">
        <v>38</v>
      </c>
      <c r="K21" s="13" t="s">
        <v>7</v>
      </c>
      <c r="L21" s="13" t="s">
        <v>39</v>
      </c>
      <c r="M21" s="13" t="s">
        <v>18</v>
      </c>
      <c r="N21" s="14">
        <v>8</v>
      </c>
      <c r="O21" s="13"/>
      <c r="P21" s="13"/>
      <c r="Q21" s="13"/>
      <c r="R21" s="13" t="s">
        <v>7</v>
      </c>
      <c r="S21" s="15"/>
    </row>
    <row r="22" spans="1:19" x14ac:dyDescent="0.3">
      <c r="A22" s="1" t="e">
        <f>IF(C22="","",MAX($A$2:A21)+1)</f>
        <v>#REF!</v>
      </c>
      <c r="B22" s="17" t="s">
        <v>36</v>
      </c>
      <c r="C22" s="3">
        <v>46082</v>
      </c>
      <c r="D22" s="3" t="str">
        <f>_xlfn.XLOOKUP([1]!Table134526_79101120212223242526[[#This Row],[Name Surname]],[1]Manpower!$C$4:$C$1048576,[1]Manpower!$B$4:$B$1048576,"")</f>
        <v>Encogroup</v>
      </c>
      <c r="E22" s="3" t="s">
        <v>52</v>
      </c>
      <c r="F22" s="4">
        <f>_xlfn.XLOOKUP([1]!Table134526_79101120212223242526[[#This Row],[Name Surname]],[1]Manpower!C:C,[1]Manpower!D:D,)</f>
        <v>141169085</v>
      </c>
      <c r="G22" s="3" t="str">
        <f>_xlfn.XLOOKUP([1]!Table134526_79101120212223242526[[#This Row],[Name Surname]],[1]Manpower!$C$4:$C$1048576,[1]Manpower!$F$4:$F$1048576,"")</f>
        <v>Welder</v>
      </c>
      <c r="H22" s="3" t="str">
        <f>_xlfn.XLOOKUP([1]!Table134526_79101120212223242526[[#This Row],[Name Surname]],[1]Manpower!$C$4:$C$1048576,[1]Manpower!$H$4:$H$1048576,"")</f>
        <v>Manpower</v>
      </c>
      <c r="I22" s="3" t="str">
        <f>_xlfn.XLOOKUP([1]!Table134526_79101120212223242526[[#This Row],[Name Surname]],[1]Manpower!$C$4:$C$1048576,[1]Manpower!$H$4:$H$1048576,"")</f>
        <v>Manpower</v>
      </c>
      <c r="J22" s="5" t="s">
        <v>38</v>
      </c>
      <c r="K22" s="5" t="s">
        <v>7</v>
      </c>
      <c r="L22" s="5" t="s">
        <v>39</v>
      </c>
      <c r="M22" s="5" t="s">
        <v>5</v>
      </c>
      <c r="N22" s="6">
        <v>10</v>
      </c>
      <c r="O22" s="5" t="s">
        <v>33</v>
      </c>
      <c r="P22" s="5" t="s">
        <v>33</v>
      </c>
      <c r="Q22" s="5" t="s">
        <v>33</v>
      </c>
      <c r="R22" s="5" t="s">
        <v>7</v>
      </c>
      <c r="S22" s="8"/>
    </row>
    <row r="23" spans="1:19" x14ac:dyDescent="0.3">
      <c r="A23" s="9" t="e">
        <f>IF(C23="","",MAX($A$2:A22)+1)</f>
        <v>#REF!</v>
      </c>
      <c r="B23" s="17" t="s">
        <v>36</v>
      </c>
      <c r="C23" s="11">
        <v>46082</v>
      </c>
      <c r="D23" s="11" t="str">
        <f>_xlfn.XLOOKUP([1]!Table134526_79101120212223242526[[#This Row],[Name Surname]],[1]Manpower!$C$4:$C$1048576,[1]Manpower!$B$4:$B$1048576,"")</f>
        <v>Encogroup</v>
      </c>
      <c r="E23" s="11" t="s">
        <v>53</v>
      </c>
      <c r="F23" s="12">
        <f>_xlfn.XLOOKUP([1]!Table134526_79101120212223242526[[#This Row],[Name Surname]],[1]Manpower!C:C,[1]Manpower!D:D,)</f>
        <v>141169047</v>
      </c>
      <c r="G23" s="11" t="str">
        <f>_xlfn.XLOOKUP([1]!Table134526_79101120212223242526[[#This Row],[Name Surname]],[1]Manpower!$C$4:$C$1048576,[1]Manpower!$F$4:$F$1048576,"")</f>
        <v>Welder</v>
      </c>
      <c r="H23" s="11" t="str">
        <f>_xlfn.XLOOKUP([1]!Table134526_79101120212223242526[[#This Row],[Name Surname]],[1]Manpower!$C$4:$C$1048576,[1]Manpower!$H$4:$H$1048576,"")</f>
        <v>Manpower</v>
      </c>
      <c r="I23" s="11" t="str">
        <f>_xlfn.XLOOKUP([1]!Table134526_79101120212223242526[[#This Row],[Name Surname]],[1]Manpower!$C$4:$C$1048576,[1]Manpower!$H$4:$H$1048576,"")</f>
        <v>Manpower</v>
      </c>
      <c r="J23" s="13" t="s">
        <v>38</v>
      </c>
      <c r="K23" s="13" t="s">
        <v>7</v>
      </c>
      <c r="L23" s="13" t="s">
        <v>39</v>
      </c>
      <c r="M23" s="13" t="s">
        <v>5</v>
      </c>
      <c r="N23" s="14">
        <v>8</v>
      </c>
      <c r="O23" s="13" t="s">
        <v>33</v>
      </c>
      <c r="P23" s="13" t="s">
        <v>33</v>
      </c>
      <c r="Q23" s="13" t="s">
        <v>33</v>
      </c>
      <c r="R23" s="13" t="s">
        <v>7</v>
      </c>
      <c r="S23" s="15"/>
    </row>
    <row r="24" spans="1:19" x14ac:dyDescent="0.3">
      <c r="A24" s="1" t="e">
        <f>IF(C24="","",MAX($A$2:A23)+1)</f>
        <v>#REF!</v>
      </c>
      <c r="B24" s="17" t="s">
        <v>36</v>
      </c>
      <c r="C24" s="3">
        <v>46082</v>
      </c>
      <c r="D24" s="3" t="str">
        <f>_xlfn.XLOOKUP([1]!Table134526_79101120212223242526[[#This Row],[Name Surname]],[1]Manpower!$C$4:$C$1048576,[1]Manpower!$B$4:$B$1048576,"")</f>
        <v>Encogroup</v>
      </c>
      <c r="E24" s="3" t="s">
        <v>54</v>
      </c>
      <c r="F24" s="4">
        <f>_xlfn.XLOOKUP([1]!Table134526_79101120212223242526[[#This Row],[Name Surname]],[1]Manpower!C:C,[1]Manpower!D:D,)</f>
        <v>140844797</v>
      </c>
      <c r="G24" s="3" t="str">
        <f>_xlfn.XLOOKUP([1]!Table134526_79101120212223242526[[#This Row],[Name Surname]],[1]Manpower!$C$4:$C$1048576,[1]Manpower!$F$4:$F$1048576,"")</f>
        <v>Fitter/Erector</v>
      </c>
      <c r="H24" s="3" t="str">
        <f>_xlfn.XLOOKUP([1]!Table134526_79101120212223242526[[#This Row],[Name Surname]],[1]Manpower!$C$4:$C$1048576,[1]Manpower!$H$4:$H$1048576,"")</f>
        <v>Manpower</v>
      </c>
      <c r="I24" s="3" t="str">
        <f>_xlfn.XLOOKUP([1]!Table134526_79101120212223242526[[#This Row],[Name Surname]],[1]Manpower!$C$4:$C$1048576,[1]Manpower!$H$4:$H$1048576,"")</f>
        <v>Manpower</v>
      </c>
      <c r="J24" s="5" t="s">
        <v>38</v>
      </c>
      <c r="K24" s="5" t="s">
        <v>7</v>
      </c>
      <c r="L24" s="5" t="s">
        <v>39</v>
      </c>
      <c r="M24" s="5" t="s">
        <v>5</v>
      </c>
      <c r="N24" s="6">
        <v>8</v>
      </c>
      <c r="O24" s="5" t="s">
        <v>33</v>
      </c>
      <c r="P24" s="5" t="s">
        <v>33</v>
      </c>
      <c r="Q24" s="5" t="s">
        <v>33</v>
      </c>
      <c r="R24" s="5" t="s">
        <v>7</v>
      </c>
      <c r="S24" s="8"/>
    </row>
    <row r="25" spans="1:19" x14ac:dyDescent="0.3">
      <c r="A25" s="9" t="e">
        <f>IF(C25="","",MAX($A$2:A24)+1)</f>
        <v>#REF!</v>
      </c>
      <c r="B25" s="17" t="s">
        <v>36</v>
      </c>
      <c r="C25" s="11">
        <v>46082</v>
      </c>
      <c r="D25" s="11" t="str">
        <f>_xlfn.XLOOKUP([1]!Table134526_79101120212223242526[[#This Row],[Name Surname]],[1]Manpower!$C$4:$C$1048576,[1]Manpower!$B$4:$B$1048576,"")</f>
        <v>Encogroup</v>
      </c>
      <c r="E25" s="11" t="s">
        <v>55</v>
      </c>
      <c r="F25" s="12" t="e">
        <f>_xlfn.XLOOKUP([1]!Table134526_79101120212223242526[[#This Row],[Name Surname]],[1]Manpower!C:C,[1]Manpower!D:D,)</f>
        <v>#N/A</v>
      </c>
      <c r="G25" s="11" t="str">
        <f>_xlfn.XLOOKUP([1]!Table134526_79101120212223242526[[#This Row],[Name Surname]],[1]Manpower!$C$4:$C$1048576,[1]Manpower!$F$4:$F$1048576,"")</f>
        <v>22KVA-Generator</v>
      </c>
      <c r="H25" s="11" t="str">
        <f>_xlfn.XLOOKUP([1]!Table134526_79101120212223242526[[#This Row],[Name Surname]],[1]Manpower!$C$4:$C$1048576,[1]Manpower!$H$4:$H$1048576,"")</f>
        <v>Equipment</v>
      </c>
      <c r="I25" s="11" t="str">
        <f>_xlfn.XLOOKUP([1]!Table134526_79101120212223242526[[#This Row],[Name Surname]],[1]Manpower!$C$4:$C$1048576,[1]Manpower!$H$4:$H$1048576,"")</f>
        <v>Equipment</v>
      </c>
      <c r="J25" s="13" t="s">
        <v>38</v>
      </c>
      <c r="K25" s="13" t="s">
        <v>7</v>
      </c>
      <c r="L25" s="13" t="s">
        <v>39</v>
      </c>
      <c r="M25" s="13" t="s">
        <v>5</v>
      </c>
      <c r="N25" s="14">
        <v>8</v>
      </c>
      <c r="O25" s="13" t="s">
        <v>33</v>
      </c>
      <c r="P25" s="13" t="s">
        <v>33</v>
      </c>
      <c r="Q25" s="13" t="s">
        <v>33</v>
      </c>
      <c r="R25" s="13" t="s">
        <v>7</v>
      </c>
      <c r="S25" s="15"/>
    </row>
    <row r="26" spans="1:19" x14ac:dyDescent="0.3">
      <c r="A26" s="1" t="e">
        <f>IF(C26="","",MAX($A$2:A25)+1)</f>
        <v>#REF!</v>
      </c>
      <c r="B26" s="17" t="s">
        <v>36</v>
      </c>
      <c r="C26" s="3">
        <v>46082</v>
      </c>
      <c r="D26" s="3" t="str">
        <f>_xlfn.XLOOKUP([1]!Table134526_79101120212223242526[[#This Row],[Name Surname]],[1]Manpower!$C$4:$C$1048576,[1]Manpower!$B$4:$B$1048576,"")</f>
        <v>Bright Light</v>
      </c>
      <c r="E26" s="3" t="s">
        <v>56</v>
      </c>
      <c r="F26" s="4">
        <f>_xlfn.XLOOKUP([1]!Table134526_79101120212223242526[[#This Row],[Name Surname]],[1]Manpower!C:C,[1]Manpower!D:D,)</f>
        <v>114531608</v>
      </c>
      <c r="G26" s="3" t="str">
        <f>_xlfn.XLOOKUP([1]!Table134526_79101120212223242526[[#This Row],[Name Surname]],[1]Manpower!$C$4:$C$1048576,[1]Manpower!$F$4:$F$1048576,"")</f>
        <v>Crane Operator-150T Sany Crawler</v>
      </c>
      <c r="H26" s="3" t="str">
        <f>_xlfn.XLOOKUP([1]!Table134526_79101120212223242526[[#This Row],[Name Surname]],[1]Manpower!$C$4:$C$1048576,[1]Manpower!$H$4:$H$1048576,"")</f>
        <v>Manpower</v>
      </c>
      <c r="I26" s="3" t="str">
        <f>_xlfn.XLOOKUP([1]!Table134526_79101120212223242526[[#This Row],[Name Surname]],[1]Manpower!$C$4:$C$1048576,[1]Manpower!$H$4:$H$1048576,"")</f>
        <v>Manpower</v>
      </c>
      <c r="J26" s="5" t="s">
        <v>38</v>
      </c>
      <c r="K26" s="5" t="s">
        <v>7</v>
      </c>
      <c r="L26" s="5" t="s">
        <v>39</v>
      </c>
      <c r="M26" s="5" t="s">
        <v>5</v>
      </c>
      <c r="N26" s="6">
        <v>8</v>
      </c>
      <c r="O26" s="5" t="s">
        <v>33</v>
      </c>
      <c r="P26" s="5" t="s">
        <v>33</v>
      </c>
      <c r="Q26" s="5" t="s">
        <v>33</v>
      </c>
      <c r="R26" s="5" t="s">
        <v>7</v>
      </c>
      <c r="S26" s="8"/>
    </row>
    <row r="27" spans="1:19" x14ac:dyDescent="0.3">
      <c r="A27" s="9" t="e">
        <f>IF(C27="","",MAX($A$2:A26)+1)</f>
        <v>#REF!</v>
      </c>
      <c r="B27" s="17" t="s">
        <v>36</v>
      </c>
      <c r="C27" s="11">
        <v>46082</v>
      </c>
      <c r="D27" s="11" t="str">
        <f>_xlfn.XLOOKUP([1]!Table134526_79101120212223242526[[#This Row],[Name Surname]],[1]Manpower!$C$4:$C$1048576,[1]Manpower!$B$4:$B$1048576,"")</f>
        <v>AL Saif &amp; Al QALLM ENT LLC</v>
      </c>
      <c r="E27" s="11" t="s">
        <v>57</v>
      </c>
      <c r="F27" s="12">
        <f>_xlfn.XLOOKUP([1]!Table134526_79101120212223242526[[#This Row],[Name Surname]],[1]Manpower!C:C,[1]Manpower!D:D,)</f>
        <v>108478006</v>
      </c>
      <c r="G27" s="11" t="str">
        <f>_xlfn.XLOOKUP([1]!Table134526_79101120212223242526[[#This Row],[Name Surname]],[1]Manpower!$C$4:$C$1048576,[1]Manpower!$F$4:$F$1048576,"")</f>
        <v>RIgger</v>
      </c>
      <c r="H27" s="11" t="str">
        <f>_xlfn.XLOOKUP([1]!Table134526_79101120212223242526[[#This Row],[Name Surname]],[1]Manpower!$C$4:$C$1048576,[1]Manpower!$H$4:$H$1048576,"")</f>
        <v>Sub Contactor</v>
      </c>
      <c r="I27" s="11" t="str">
        <f>_xlfn.XLOOKUP([1]!Table134526_79101120212223242526[[#This Row],[Name Surname]],[1]Manpower!$C$4:$C$1048576,[1]Manpower!$H$4:$H$1048576,"")</f>
        <v>Sub Contactor</v>
      </c>
      <c r="J27" s="13" t="s">
        <v>38</v>
      </c>
      <c r="K27" s="13" t="s">
        <v>7</v>
      </c>
      <c r="L27" s="13" t="s">
        <v>39</v>
      </c>
      <c r="M27" s="13" t="s">
        <v>5</v>
      </c>
      <c r="N27" s="14">
        <v>8</v>
      </c>
      <c r="O27" s="13" t="s">
        <v>11</v>
      </c>
      <c r="P27" s="13" t="s">
        <v>13</v>
      </c>
      <c r="Q27" s="13" t="s">
        <v>13</v>
      </c>
      <c r="R27" s="13" t="s">
        <v>7</v>
      </c>
      <c r="S27" s="15"/>
    </row>
    <row r="28" spans="1:19" x14ac:dyDescent="0.3">
      <c r="A28" s="1" t="e">
        <f>IF(C28="","",MAX($A$2:A27)+1)</f>
        <v>#REF!</v>
      </c>
      <c r="B28" s="17" t="s">
        <v>36</v>
      </c>
      <c r="C28" s="3">
        <v>46082</v>
      </c>
      <c r="D28" s="3" t="str">
        <f>_xlfn.XLOOKUP([1]!Table134526_79101120212223242526[[#This Row],[Name Surname]],[1]Manpower!$C$4:$C$1048576,[1]Manpower!$B$4:$B$1048576,"")</f>
        <v>AL Omar International TRAD AND CONT</v>
      </c>
      <c r="E28" s="3" t="s">
        <v>58</v>
      </c>
      <c r="F28" s="4">
        <f>_xlfn.XLOOKUP([1]!Table134526_79101120212223242526[[#This Row],[Name Surname]],[1]Manpower!C:C,[1]Manpower!D:D,)</f>
        <v>115018512</v>
      </c>
      <c r="G28" s="3" t="str">
        <f>_xlfn.XLOOKUP([1]!Table134526_79101120212223242526[[#This Row],[Name Surname]],[1]Manpower!$C$4:$C$1048576,[1]Manpower!$F$4:$F$1048576,"")</f>
        <v>RIgger</v>
      </c>
      <c r="H28" s="3" t="str">
        <f>_xlfn.XLOOKUP([1]!Table134526_79101120212223242526[[#This Row],[Name Surname]],[1]Manpower!$C$4:$C$1048576,[1]Manpower!$H$4:$H$1048576,"")</f>
        <v>Sub Contactor</v>
      </c>
      <c r="I28" s="3" t="str">
        <f>_xlfn.XLOOKUP([1]!Table134526_79101120212223242526[[#This Row],[Name Surname]],[1]Manpower!$C$4:$C$1048576,[1]Manpower!$H$4:$H$1048576,"")</f>
        <v>Sub Contactor</v>
      </c>
      <c r="J28" s="5" t="s">
        <v>38</v>
      </c>
      <c r="K28" s="5" t="s">
        <v>7</v>
      </c>
      <c r="L28" s="5" t="s">
        <v>39</v>
      </c>
      <c r="M28" s="5" t="s">
        <v>18</v>
      </c>
      <c r="N28" s="6">
        <v>8</v>
      </c>
      <c r="O28" s="5"/>
      <c r="P28" s="5"/>
      <c r="Q28" s="5"/>
      <c r="R28" s="5" t="s">
        <v>19</v>
      </c>
      <c r="S28" s="8"/>
    </row>
    <row r="29" spans="1:19" x14ac:dyDescent="0.3">
      <c r="A29" s="9" t="e">
        <f>IF(C29="","",MAX($A$2:A28)+1)</f>
        <v>#REF!</v>
      </c>
      <c r="B29" s="17" t="s">
        <v>36</v>
      </c>
      <c r="C29" s="11">
        <v>46082</v>
      </c>
      <c r="D29" s="11" t="str">
        <f>_xlfn.XLOOKUP([1]!Table134526_79101120212223242526[[#This Row],[Name Surname]],[1]Manpower!$C$4:$C$1048576,[1]Manpower!$B$4:$B$1048576,"")</f>
        <v>Encogroup</v>
      </c>
      <c r="E29" s="11" t="s">
        <v>59</v>
      </c>
      <c r="F29" s="12">
        <f>_xlfn.XLOOKUP([1]!Table134526_79101120212223242526[[#This Row],[Name Surname]],[1]Manpower!C:C,[1]Manpower!D:D,)</f>
        <v>122082769</v>
      </c>
      <c r="G29" s="11" t="str">
        <f>_xlfn.XLOOKUP([1]!Table134526_79101120212223242526[[#This Row],[Name Surname]],[1]Manpower!$C$4:$C$1048576,[1]Manpower!$F$4:$F$1048576,"")</f>
        <v>Grinder</v>
      </c>
      <c r="H29" s="11" t="str">
        <f>_xlfn.XLOOKUP([1]!Table134526_79101120212223242526[[#This Row],[Name Surname]],[1]Manpower!$C$4:$C$1048576,[1]Manpower!$H$4:$H$1048576,"")</f>
        <v>Manpower</v>
      </c>
      <c r="I29" s="11" t="str">
        <f>_xlfn.XLOOKUP([1]!Table134526_79101120212223242526[[#This Row],[Name Surname]],[1]Manpower!$C$4:$C$1048576,[1]Manpower!$H$4:$H$1048576,"")</f>
        <v>Manpower</v>
      </c>
      <c r="J29" s="13" t="s">
        <v>38</v>
      </c>
      <c r="K29" s="13" t="s">
        <v>7</v>
      </c>
      <c r="L29" s="13" t="s">
        <v>39</v>
      </c>
      <c r="M29" s="13" t="s">
        <v>18</v>
      </c>
      <c r="N29" s="14">
        <v>8</v>
      </c>
      <c r="O29" s="13"/>
      <c r="P29" s="13"/>
      <c r="Q29" s="13"/>
      <c r="R29" s="13" t="s">
        <v>19</v>
      </c>
      <c r="S29" s="15"/>
    </row>
    <row r="30" spans="1:19" x14ac:dyDescent="0.3">
      <c r="A30" s="1" t="e">
        <f>IF(C30="","",MAX($A$2:A29)+1)</f>
        <v>#REF!</v>
      </c>
      <c r="B30" s="2" t="s">
        <v>0</v>
      </c>
      <c r="C30" s="3">
        <v>46083</v>
      </c>
      <c r="D30" s="3" t="str">
        <f>_xlfn.XLOOKUP([1]!Table134526_79101120212223242526[[#This Row],[Name Surname]],[1]Manpower!$C$4:$C$1048576,[1]Manpower!$B$4:$B$1048576,"")</f>
        <v>Encogroup</v>
      </c>
      <c r="E30" s="3" t="s">
        <v>1</v>
      </c>
      <c r="F30" s="4">
        <f>_xlfn.XLOOKUP([1]!Table134526_79101120212223242526[[#This Row],[Name Surname]],[1]Manpower!C:C,[1]Manpower!D:D,)</f>
        <v>116915582</v>
      </c>
      <c r="G30" s="3" t="str">
        <f>_xlfn.XLOOKUP([1]!Table134526_79101120212223242526[[#This Row],[Name Surname]],[1]Manpower!$C$4:$C$1048576,[1]Manpower!$F$4:$F$1048576,"")</f>
        <v>Mechanical Superintendent</v>
      </c>
      <c r="H30" s="3" t="str">
        <f>_xlfn.XLOOKUP([1]!Table134526_79101120212223242526[[#This Row],[Name Surname]],[1]Manpower!$C$4:$C$1048576,[1]Manpower!$H$4:$H$1048576,"")</f>
        <v>Manpower</v>
      </c>
      <c r="I30" s="3" t="str">
        <f>_xlfn.XLOOKUP([1]!Table134526_79101120212223242526[[#This Row],[Name Surname]],[1]Manpower!$C$4:$C$1048576,[1]Manpower!$H$4:$H$1048576,"")</f>
        <v>Manpower</v>
      </c>
      <c r="J30" s="5" t="s">
        <v>2</v>
      </c>
      <c r="K30" s="5" t="s">
        <v>3</v>
      </c>
      <c r="L30" s="5" t="s">
        <v>4</v>
      </c>
      <c r="M30" s="5" t="s">
        <v>18</v>
      </c>
      <c r="N30" s="6">
        <v>10</v>
      </c>
      <c r="O30" s="5"/>
      <c r="P30" s="7"/>
      <c r="Q30" s="5"/>
      <c r="R30" s="5" t="s">
        <v>60</v>
      </c>
      <c r="S30" s="8"/>
    </row>
    <row r="31" spans="1:19" x14ac:dyDescent="0.3">
      <c r="A31" s="9" t="e">
        <f>IF(C31="","",MAX($A$2:A30)+1)</f>
        <v>#REF!</v>
      </c>
      <c r="B31" s="10" t="s">
        <v>0</v>
      </c>
      <c r="C31" s="11">
        <v>46083</v>
      </c>
      <c r="D31" s="11" t="str">
        <f>_xlfn.XLOOKUP([1]!Table134526_79101120212223242526[[#This Row],[Name Surname]],[1]Manpower!$C$4:$C$1048576,[1]Manpower!$B$4:$B$1048576,"")</f>
        <v>Encogroup</v>
      </c>
      <c r="E31" s="11" t="s">
        <v>61</v>
      </c>
      <c r="F31" s="12">
        <f>_xlfn.XLOOKUP([1]!Table134526_79101120212223242526[[#This Row],[Name Surname]],[1]Manpower!C:C,[1]Manpower!D:D,)</f>
        <v>141169071</v>
      </c>
      <c r="G31" s="11" t="str">
        <f>_xlfn.XLOOKUP([1]!Table134526_79101120212223242526[[#This Row],[Name Surname]],[1]Manpower!$C$4:$C$1048576,[1]Manpower!$F$4:$F$1048576,"")</f>
        <v>Welding Supervisor</v>
      </c>
      <c r="H31" s="11" t="str">
        <f>_xlfn.XLOOKUP([1]!Table134526_79101120212223242526[[#This Row],[Name Surname]],[1]Manpower!$C$4:$C$1048576,[1]Manpower!$H$4:$H$1048576,"")</f>
        <v>Manpower</v>
      </c>
      <c r="I31" s="11" t="str">
        <f>_xlfn.XLOOKUP([1]!Table134526_79101120212223242526[[#This Row],[Name Surname]],[1]Manpower!$C$4:$C$1048576,[1]Manpower!$H$4:$H$1048576,"")</f>
        <v>Manpower</v>
      </c>
      <c r="J31" s="13" t="s">
        <v>9</v>
      </c>
      <c r="K31" s="13" t="s">
        <v>7</v>
      </c>
      <c r="L31" s="13" t="s">
        <v>10</v>
      </c>
      <c r="M31" s="13" t="s">
        <v>18</v>
      </c>
      <c r="N31" s="14">
        <v>10</v>
      </c>
      <c r="O31" s="13"/>
      <c r="P31" s="13"/>
      <c r="Q31" s="13"/>
      <c r="R31" s="13" t="s">
        <v>60</v>
      </c>
      <c r="S31" s="15"/>
    </row>
    <row r="32" spans="1:19" x14ac:dyDescent="0.3">
      <c r="A32" s="1" t="e">
        <f>IF(C32="","",MAX($A$2:A31)+1)</f>
        <v>#REF!</v>
      </c>
      <c r="B32" s="10" t="s">
        <v>0</v>
      </c>
      <c r="C32" s="3">
        <v>46083</v>
      </c>
      <c r="D32" s="3" t="str">
        <f>_xlfn.XLOOKUP([1]!Table134526_79101120212223242526[[#This Row],[Name Surname]],[1]Manpower!$C$4:$C$1048576,[1]Manpower!$B$4:$B$1048576,"")</f>
        <v>Encogroup</v>
      </c>
      <c r="E32" s="3" t="s">
        <v>8</v>
      </c>
      <c r="F32" s="4">
        <f>_xlfn.XLOOKUP([1]!Table134526_79101120212223242526[[#This Row],[Name Surname]],[1]Manpower!C:C,[1]Manpower!D:D,)</f>
        <v>141365126</v>
      </c>
      <c r="G32" s="3" t="str">
        <f>_xlfn.XLOOKUP([1]!Table134526_79101120212223242526[[#This Row],[Name Surname]],[1]Manpower!$C$4:$C$1048576,[1]Manpower!$F$4:$F$1048576,"")</f>
        <v>Helper</v>
      </c>
      <c r="H32" s="3" t="str">
        <f>_xlfn.XLOOKUP([1]!Table134526_79101120212223242526[[#This Row],[Name Surname]],[1]Manpower!$C$4:$C$1048576,[1]Manpower!$H$4:$H$1048576,"")</f>
        <v>Manpower</v>
      </c>
      <c r="I32" s="3" t="str">
        <f>_xlfn.XLOOKUP([1]!Table134526_79101120212223242526[[#This Row],[Name Surname]],[1]Manpower!$C$4:$C$1048576,[1]Manpower!$H$4:$H$1048576,"")</f>
        <v>Manpower</v>
      </c>
      <c r="J32" s="5" t="s">
        <v>9</v>
      </c>
      <c r="K32" s="5" t="s">
        <v>7</v>
      </c>
      <c r="L32" s="5" t="s">
        <v>10</v>
      </c>
      <c r="M32" s="5" t="s">
        <v>18</v>
      </c>
      <c r="N32" s="6">
        <v>10</v>
      </c>
      <c r="O32" s="5"/>
      <c r="P32" s="5"/>
      <c r="Q32" s="5"/>
      <c r="R32" s="5" t="s">
        <v>60</v>
      </c>
      <c r="S32" s="8"/>
    </row>
    <row r="33" spans="1:19" x14ac:dyDescent="0.3">
      <c r="A33" s="9" t="e">
        <f>IF(C33="","",MAX($A$2:A32)+1)</f>
        <v>#REF!</v>
      </c>
      <c r="B33" s="10" t="s">
        <v>0</v>
      </c>
      <c r="C33" s="11">
        <v>46083</v>
      </c>
      <c r="D33" s="11" t="str">
        <f>_xlfn.XLOOKUP([1]!Table134526_79101120212223242526[[#This Row],[Name Surname]],[1]Manpower!$C$4:$C$1048576,[1]Manpower!$B$4:$B$1048576,"")</f>
        <v>Bright Light</v>
      </c>
      <c r="E33" s="11" t="s">
        <v>15</v>
      </c>
      <c r="F33" s="12">
        <f>_xlfn.XLOOKUP([1]!Table134526_79101120212223242526[[#This Row],[Name Surname]],[1]Manpower!C:C,[1]Manpower!D:D,)</f>
        <v>81379273</v>
      </c>
      <c r="G33" s="11" t="str">
        <f>_xlfn.XLOOKUP([1]!Table134526_79101120212223242526[[#This Row],[Name Surname]],[1]Manpower!$C$4:$C$1048576,[1]Manpower!$F$4:$F$1048576,"")</f>
        <v>Crane Operator-100T Sany Telescopic</v>
      </c>
      <c r="H33" s="11" t="str">
        <f>_xlfn.XLOOKUP([1]!Table134526_79101120212223242526[[#This Row],[Name Surname]],[1]Manpower!$C$4:$C$1048576,[1]Manpower!$H$4:$H$1048576,"")</f>
        <v>Manpower</v>
      </c>
      <c r="I33" s="11" t="str">
        <f>_xlfn.XLOOKUP([1]!Table134526_79101120212223242526[[#This Row],[Name Surname]],[1]Manpower!$C$4:$C$1048576,[1]Manpower!$H$4:$H$1048576,"")</f>
        <v>Manpower</v>
      </c>
      <c r="J33" s="13" t="s">
        <v>9</v>
      </c>
      <c r="K33" s="13" t="s">
        <v>7</v>
      </c>
      <c r="L33" s="13" t="s">
        <v>10</v>
      </c>
      <c r="M33" s="13" t="s">
        <v>18</v>
      </c>
      <c r="N33" s="14">
        <v>10</v>
      </c>
      <c r="O33" s="13"/>
      <c r="P33" s="13"/>
      <c r="Q33" s="13"/>
      <c r="R33" s="13" t="s">
        <v>60</v>
      </c>
      <c r="S33" s="15"/>
    </row>
    <row r="34" spans="1:19" x14ac:dyDescent="0.3">
      <c r="A34" s="1" t="e">
        <f>IF(C34="","",MAX($A$2:A33)+1)</f>
        <v>#REF!</v>
      </c>
      <c r="B34" s="10" t="s">
        <v>0</v>
      </c>
      <c r="C34" s="3">
        <v>46083</v>
      </c>
      <c r="D34" s="18" t="str">
        <f>_xlfn.XLOOKUP([1]!Table134526_79101120212223242526[[#This Row],[Name Surname]],[1]Manpower!$C$4:$C$1048576,[1]Manpower!$B$4:$B$1048576,"")</f>
        <v>Encogroup</v>
      </c>
      <c r="E34" s="3" t="s">
        <v>17</v>
      </c>
      <c r="F34" s="4">
        <f>_xlfn.XLOOKUP([1]!Table134526_79101120212223242526[[#This Row],[Name Surname]],[1]Manpower!C:C,[1]Manpower!D:D,)</f>
        <v>140764706</v>
      </c>
      <c r="G34" s="18" t="str">
        <f>_xlfn.XLOOKUP([1]!Table134526_79101120212223242526[[#This Row],[Name Surname]],[1]Manpower!$C$4:$C$1048576,[1]Manpower!$F$4:$F$1048576,"")</f>
        <v>Rigger</v>
      </c>
      <c r="H34" s="18" t="str">
        <f>_xlfn.XLOOKUP([1]!Table134526_79101120212223242526[[#This Row],[Name Surname]],[1]Manpower!$C$4:$C$1048576,[1]Manpower!$H$4:$H$1048576,"")</f>
        <v>Manpower</v>
      </c>
      <c r="I34" s="3" t="str">
        <f>_xlfn.XLOOKUP([1]!Table134526_79101120212223242526[[#This Row],[Name Surname]],[1]Manpower!$C$4:$C$1048576,[1]Manpower!$H$4:$H$1048576,"")</f>
        <v>Manpower</v>
      </c>
      <c r="J34" s="5" t="s">
        <v>9</v>
      </c>
      <c r="K34" s="5" t="s">
        <v>7</v>
      </c>
      <c r="L34" s="5" t="s">
        <v>10</v>
      </c>
      <c r="M34" s="5" t="s">
        <v>18</v>
      </c>
      <c r="N34" s="6">
        <v>10</v>
      </c>
      <c r="O34" s="7"/>
      <c r="P34" s="7"/>
      <c r="Q34" s="5"/>
      <c r="R34" s="5" t="s">
        <v>60</v>
      </c>
      <c r="S34" s="8"/>
    </row>
    <row r="35" spans="1:19" x14ac:dyDescent="0.3">
      <c r="A35" s="9" t="e">
        <f>IF(C35="","",MAX($A$2:A34)+1)</f>
        <v>#REF!</v>
      </c>
      <c r="B35" s="10" t="s">
        <v>0</v>
      </c>
      <c r="C35" s="11">
        <v>46083</v>
      </c>
      <c r="D35" s="11" t="str">
        <f>_xlfn.XLOOKUP([1]!Table134526_79101120212223242526[[#This Row],[Name Surname]],[1]Manpower!$C$4:$C$1048576,[1]Manpower!$B$4:$B$1048576,"")</f>
        <v>Encogroup</v>
      </c>
      <c r="E35" s="11" t="s">
        <v>20</v>
      </c>
      <c r="F35" s="12">
        <f>_xlfn.XLOOKUP([1]!Table134526_79101120212223242526[[#This Row],[Name Surname]],[1]Manpower!C:C,[1]Manpower!D:D,)</f>
        <v>135325259</v>
      </c>
      <c r="G35" s="11" t="str">
        <f>_xlfn.XLOOKUP([1]!Table134526_79101120212223242526[[#This Row],[Name Surname]],[1]Manpower!$C$4:$C$1048576,[1]Manpower!$F$4:$F$1048576,"")</f>
        <v>Permit Receiver</v>
      </c>
      <c r="H35" s="11" t="str">
        <f>_xlfn.XLOOKUP([1]!Table134526_79101120212223242526[[#This Row],[Name Surname]],[1]Manpower!$C$4:$C$1048576,[1]Manpower!$H$4:$H$1048576,"")</f>
        <v>Manpower</v>
      </c>
      <c r="I35" s="11" t="str">
        <f>_xlfn.XLOOKUP([1]!Table134526_79101120212223242526[[#This Row],[Name Surname]],[1]Manpower!$C$4:$C$1048576,[1]Manpower!$H$4:$H$1048576,"")</f>
        <v>Manpower</v>
      </c>
      <c r="J35" s="13" t="s">
        <v>9</v>
      </c>
      <c r="K35" s="13" t="s">
        <v>7</v>
      </c>
      <c r="L35" s="13" t="s">
        <v>10</v>
      </c>
      <c r="M35" s="13" t="s">
        <v>18</v>
      </c>
      <c r="N35" s="14">
        <v>10</v>
      </c>
      <c r="O35" s="13"/>
      <c r="P35" s="13"/>
      <c r="Q35" s="13"/>
      <c r="R35" s="13" t="s">
        <v>60</v>
      </c>
      <c r="S35" s="15"/>
    </row>
    <row r="36" spans="1:19" x14ac:dyDescent="0.3">
      <c r="A36" s="1" t="e">
        <f>IF(C36="","",MAX($A$2:A35)+1)</f>
        <v>#REF!</v>
      </c>
      <c r="B36" s="16" t="s">
        <v>21</v>
      </c>
      <c r="C36" s="3">
        <v>46083</v>
      </c>
      <c r="D36" s="3" t="str">
        <f>_xlfn.XLOOKUP([1]!Table134526_79101120212223242526[[#This Row],[Name Surname]],[1]Manpower!$C$4:$C$1048576,[1]Manpower!$B$4:$B$1048576,"")</f>
        <v>Encogroup</v>
      </c>
      <c r="E36" s="3" t="s">
        <v>22</v>
      </c>
      <c r="F36" s="4">
        <f>_xlfn.XLOOKUP([1]!Table134526_79101120212223242526[[#This Row],[Name Surname]],[1]Manpower!C:C,[1]Manpower!D:D,)</f>
        <v>141365089</v>
      </c>
      <c r="G36" s="3" t="str">
        <f>_xlfn.XLOOKUP([1]!Table134526_79101120212223242526[[#This Row],[Name Surname]],[1]Manpower!$C$4:$C$1048576,[1]Manpower!$F$4:$F$1048576,"")</f>
        <v>Fitter</v>
      </c>
      <c r="H36" s="3" t="str">
        <f>_xlfn.XLOOKUP([1]!Table134526_79101120212223242526[[#This Row],[Name Surname]],[1]Manpower!$C$4:$C$1048576,[1]Manpower!$H$4:$H$1048576,"")</f>
        <v>Manpower</v>
      </c>
      <c r="I36" s="3" t="str">
        <f>_xlfn.XLOOKUP([1]!Table134526_79101120212223242526[[#This Row],[Name Surname]],[1]Manpower!$C$4:$C$1048576,[1]Manpower!$H$4:$H$1048576,"")</f>
        <v>Manpower</v>
      </c>
      <c r="J36" s="5" t="s">
        <v>23</v>
      </c>
      <c r="K36" s="5" t="s">
        <v>24</v>
      </c>
      <c r="L36" s="5" t="s">
        <v>25</v>
      </c>
      <c r="M36" s="5" t="s">
        <v>18</v>
      </c>
      <c r="N36" s="6">
        <v>10</v>
      </c>
      <c r="O36" s="5"/>
      <c r="P36" s="5"/>
      <c r="Q36" s="5"/>
      <c r="R36" s="5" t="s">
        <v>60</v>
      </c>
      <c r="S36" s="8"/>
    </row>
    <row r="37" spans="1:19" x14ac:dyDescent="0.3">
      <c r="A37" s="9" t="e">
        <f>IF(C37="","",MAX($A$2:A36)+1)</f>
        <v>#REF!</v>
      </c>
      <c r="B37" s="16" t="s">
        <v>21</v>
      </c>
      <c r="C37" s="11">
        <v>46083</v>
      </c>
      <c r="D37" s="11" t="str">
        <f>_xlfn.XLOOKUP([1]!Table134526_79101120212223242526[[#This Row],[Name Surname]],[1]Manpower!$C$4:$C$1048576,[1]Manpower!$B$4:$B$1048576,"")</f>
        <v>Encogroup</v>
      </c>
      <c r="E37" s="11" t="s">
        <v>28</v>
      </c>
      <c r="F37" s="12">
        <f>_xlfn.XLOOKUP([1]!Table134526_79101120212223242526[[#This Row],[Name Surname]],[1]Manpower!C:C,[1]Manpower!D:D,)</f>
        <v>122179604</v>
      </c>
      <c r="G37" s="11" t="str">
        <f>_xlfn.XLOOKUP([1]!Table134526_79101120212223242526[[#This Row],[Name Surname]],[1]Manpower!$C$4:$C$1048576,[1]Manpower!$F$4:$F$1048576,"")</f>
        <v>Fitter/Erector</v>
      </c>
      <c r="H37" s="11" t="str">
        <f>_xlfn.XLOOKUP([1]!Table134526_79101120212223242526[[#This Row],[Name Surname]],[1]Manpower!$C$4:$C$1048576,[1]Manpower!$H$4:$H$1048576,"")</f>
        <v>Manpower</v>
      </c>
      <c r="I37" s="11" t="str">
        <f>_xlfn.XLOOKUP([1]!Table134526_79101120212223242526[[#This Row],[Name Surname]],[1]Manpower!$C$4:$C$1048576,[1]Manpower!$H$4:$H$1048576,"")</f>
        <v>Manpower</v>
      </c>
      <c r="J37" s="13" t="s">
        <v>23</v>
      </c>
      <c r="K37" s="13" t="s">
        <v>24</v>
      </c>
      <c r="L37" s="13" t="s">
        <v>25</v>
      </c>
      <c r="M37" s="13" t="s">
        <v>18</v>
      </c>
      <c r="N37" s="14">
        <v>10</v>
      </c>
      <c r="O37" s="13"/>
      <c r="P37" s="13"/>
      <c r="Q37" s="13"/>
      <c r="R37" s="13" t="s">
        <v>60</v>
      </c>
      <c r="S37" s="15"/>
    </row>
    <row r="38" spans="1:19" x14ac:dyDescent="0.3">
      <c r="A38" s="1" t="e">
        <f>IF(C38="","",MAX($A$2:A37)+1)</f>
        <v>#REF!</v>
      </c>
      <c r="B38" s="16" t="s">
        <v>21</v>
      </c>
      <c r="C38" s="3">
        <v>46083</v>
      </c>
      <c r="D38" s="3" t="str">
        <f>_xlfn.XLOOKUP([1]!Table134526_79101120212223242526[[#This Row],[Name Surname]],[1]Manpower!$C$4:$C$1048576,[1]Manpower!$B$4:$B$1048576,"")</f>
        <v>Encogroup</v>
      </c>
      <c r="E38" s="3" t="s">
        <v>31</v>
      </c>
      <c r="F38" s="4">
        <f>_xlfn.XLOOKUP([1]!Table134526_79101120212223242526[[#This Row],[Name Surname]],[1]Manpower!C:C,[1]Manpower!D:D,)</f>
        <v>127859069</v>
      </c>
      <c r="G38" s="3" t="str">
        <f>_xlfn.XLOOKUP([1]!Table134526_79101120212223242526[[#This Row],[Name Surname]],[1]Manpower!$C$4:$C$1048576,[1]Manpower!$F$4:$F$1048576,"")</f>
        <v>QC Mechanical Engineer</v>
      </c>
      <c r="H38" s="3" t="str">
        <f>_xlfn.XLOOKUP([1]!Table134526_79101120212223242526[[#This Row],[Name Surname]],[1]Manpower!$C$4:$C$1048576,[1]Manpower!$H$4:$H$1048576,"")</f>
        <v>Manpower</v>
      </c>
      <c r="I38" s="3" t="str">
        <f>_xlfn.XLOOKUP([1]!Table134526_79101120212223242526[[#This Row],[Name Surname]],[1]Manpower!$C$4:$C$1048576,[1]Manpower!$H$4:$H$1048576,"")</f>
        <v>Manpower</v>
      </c>
      <c r="J38" s="5" t="s">
        <v>23</v>
      </c>
      <c r="K38" s="5" t="s">
        <v>24</v>
      </c>
      <c r="L38" s="5" t="s">
        <v>25</v>
      </c>
      <c r="M38" s="5" t="s">
        <v>18</v>
      </c>
      <c r="N38" s="6">
        <v>10</v>
      </c>
      <c r="O38" s="5"/>
      <c r="P38" s="5"/>
      <c r="Q38" s="5"/>
      <c r="R38" s="5" t="s">
        <v>60</v>
      </c>
      <c r="S38" s="8"/>
    </row>
    <row r="39" spans="1:19" x14ac:dyDescent="0.3">
      <c r="A39" s="9" t="e">
        <f>IF(C39="","",MAX($A$2:A38)+1)</f>
        <v>#REF!</v>
      </c>
      <c r="B39" s="16" t="s">
        <v>21</v>
      </c>
      <c r="C39" s="11">
        <v>46083</v>
      </c>
      <c r="D39" s="11" t="str">
        <f>_xlfn.XLOOKUP([1]!Table134526_79101120212223242526[[#This Row],[Name Surname]],[1]Manpower!$C$4:$C$1048576,[1]Manpower!$B$4:$B$1048576,"")</f>
        <v>Encogroup</v>
      </c>
      <c r="E39" s="11" t="s">
        <v>32</v>
      </c>
      <c r="F39" s="12">
        <f>_xlfn.XLOOKUP([1]!Table134526_79101120212223242526[[#This Row],[Name Surname]],[1]Manpower!C:C,[1]Manpower!D:D,)</f>
        <v>140844618</v>
      </c>
      <c r="G39" s="11" t="str">
        <f>_xlfn.XLOOKUP([1]!Table134526_79101120212223242526[[#This Row],[Name Surname]],[1]Manpower!$C$4:$C$1048576,[1]Manpower!$F$4:$F$1048576,"")</f>
        <v>Assistant/Helper</v>
      </c>
      <c r="H39" s="11" t="str">
        <f>_xlfn.XLOOKUP([1]!Table134526_79101120212223242526[[#This Row],[Name Surname]],[1]Manpower!$C$4:$C$1048576,[1]Manpower!$H$4:$H$1048576,"")</f>
        <v>Manpower</v>
      </c>
      <c r="I39" s="11" t="str">
        <f>_xlfn.XLOOKUP([1]!Table134526_79101120212223242526[[#This Row],[Name Surname]],[1]Manpower!$C$4:$C$1048576,[1]Manpower!$H$4:$H$1048576,"")</f>
        <v>Manpower</v>
      </c>
      <c r="J39" s="13" t="s">
        <v>23</v>
      </c>
      <c r="K39" s="13" t="s">
        <v>24</v>
      </c>
      <c r="L39" s="13" t="s">
        <v>25</v>
      </c>
      <c r="M39" s="13" t="s">
        <v>18</v>
      </c>
      <c r="N39" s="14">
        <v>10</v>
      </c>
      <c r="O39" s="13"/>
      <c r="P39" s="13"/>
      <c r="Q39" s="13"/>
      <c r="R39" s="13" t="s">
        <v>60</v>
      </c>
      <c r="S39" s="15"/>
    </row>
    <row r="40" spans="1:19" x14ac:dyDescent="0.3">
      <c r="A40" s="1" t="e">
        <f>IF(C40="","",MAX($A$2:A38)+1)</f>
        <v>#REF!</v>
      </c>
      <c r="B40" s="16" t="s">
        <v>21</v>
      </c>
      <c r="C40" s="3">
        <v>46083</v>
      </c>
      <c r="D40" s="3" t="str">
        <f>_xlfn.XLOOKUP([1]!Table134526_79101120212223242526[[#This Row],[Name Surname]],[1]Manpower!$C$4:$C$1048576,[1]Manpower!$B$4:$B$1048576,"")</f>
        <v>AL Omar International TRAD AND CONT</v>
      </c>
      <c r="E40" s="3" t="s">
        <v>34</v>
      </c>
      <c r="F40" s="4">
        <f>_xlfn.XLOOKUP([1]!Table134526_79101120212223242526[[#This Row],[Name Surname]],[1]Manpower!C:C,[1]Manpower!D:D,)</f>
        <v>114929202</v>
      </c>
      <c r="G40" s="3" t="str">
        <f>_xlfn.XLOOKUP([1]!Table134526_79101120212223242526[[#This Row],[Name Surname]],[1]Manpower!$C$4:$C$1048576,[1]Manpower!$F$4:$F$1048576,"")</f>
        <v>RIgger</v>
      </c>
      <c r="H40" s="3" t="str">
        <f>_xlfn.XLOOKUP([1]!Table134526_79101120212223242526[[#This Row],[Name Surname]],[1]Manpower!$C$4:$C$1048576,[1]Manpower!$H$4:$H$1048576,"")</f>
        <v>Sub Contactor</v>
      </c>
      <c r="I40" s="3" t="str">
        <f>_xlfn.XLOOKUP([1]!Table134526_79101120212223242526[[#This Row],[Name Surname]],[1]Manpower!$C$4:$C$1048576,[1]Manpower!$H$4:$H$1048576,"")</f>
        <v>Sub Contactor</v>
      </c>
      <c r="J40" s="5" t="s">
        <v>23</v>
      </c>
      <c r="K40" s="5" t="s">
        <v>24</v>
      </c>
      <c r="L40" s="5" t="s">
        <v>25</v>
      </c>
      <c r="M40" s="5" t="s">
        <v>18</v>
      </c>
      <c r="N40" s="6">
        <v>10</v>
      </c>
      <c r="O40" s="5"/>
      <c r="P40" s="5"/>
      <c r="Q40" s="5"/>
      <c r="R40" s="5" t="s">
        <v>60</v>
      </c>
      <c r="S40" s="8"/>
    </row>
    <row r="41" spans="1:19" x14ac:dyDescent="0.3">
      <c r="A41" s="9" t="e">
        <f>IF(C41="","",MAX($A$2:A40)+1)</f>
        <v>#REF!</v>
      </c>
      <c r="B41" s="17" t="s">
        <v>36</v>
      </c>
      <c r="C41" s="11">
        <v>46083</v>
      </c>
      <c r="D41" s="11" t="str">
        <f>_xlfn.XLOOKUP([1]!Table134526_79101120212223242526[[#This Row],[Name Surname]],[1]Manpower!$C$4:$C$1048576,[1]Manpower!$B$4:$B$1048576,"")</f>
        <v>Encogroup</v>
      </c>
      <c r="E41" s="11" t="s">
        <v>37</v>
      </c>
      <c r="F41" s="12">
        <f>_xlfn.XLOOKUP([1]!Table134526_79101120212223242526[[#This Row],[Name Surname]],[1]Manpower!C:C,[1]Manpower!D:D,)</f>
        <v>117255966</v>
      </c>
      <c r="G41" s="11" t="str">
        <f>_xlfn.XLOOKUP([1]!Table134526_79101120212223242526[[#This Row],[Name Surname]],[1]Manpower!$C$4:$C$1048576,[1]Manpower!$F$4:$F$1048576,"")</f>
        <v>Mechanical Supervisor</v>
      </c>
      <c r="H41" s="11" t="str">
        <f>_xlfn.XLOOKUP([1]!Table134526_79101120212223242526[[#This Row],[Name Surname]],[1]Manpower!$C$4:$C$1048576,[1]Manpower!$H$4:$H$1048576,"")</f>
        <v>Manpower</v>
      </c>
      <c r="I41" s="11" t="str">
        <f>_xlfn.XLOOKUP([1]!Table134526_79101120212223242526[[#This Row],[Name Surname]],[1]Manpower!$C$4:$C$1048576,[1]Manpower!$H$4:$H$1048576,"")</f>
        <v>Manpower</v>
      </c>
      <c r="J41" s="13" t="s">
        <v>38</v>
      </c>
      <c r="K41" s="13" t="s">
        <v>7</v>
      </c>
      <c r="L41" s="13" t="s">
        <v>39</v>
      </c>
      <c r="M41" s="13" t="s">
        <v>18</v>
      </c>
      <c r="N41" s="14">
        <v>10</v>
      </c>
      <c r="O41" s="13"/>
      <c r="P41" s="13"/>
      <c r="Q41" s="13"/>
      <c r="R41" s="13" t="s">
        <v>60</v>
      </c>
      <c r="S41" s="15"/>
    </row>
    <row r="42" spans="1:19" x14ac:dyDescent="0.3">
      <c r="A42" s="1" t="e">
        <f>IF(C42="","",MAX($A$2:A41)+1)</f>
        <v>#REF!</v>
      </c>
      <c r="B42" s="17" t="s">
        <v>36</v>
      </c>
      <c r="C42" s="3">
        <v>46083</v>
      </c>
      <c r="D42" s="3" t="str">
        <f>_xlfn.XLOOKUP([1]!Table134526_79101120212223242526[[#This Row],[Name Surname]],[1]Manpower!$C$4:$C$1048576,[1]Manpower!$B$4:$B$1048576,"")</f>
        <v>Encogroup</v>
      </c>
      <c r="E42" s="3" t="s">
        <v>40</v>
      </c>
      <c r="F42" s="4" t="e">
        <f>_xlfn.XLOOKUP([1]!Table134526_79101120212223242526[[#This Row],[Name Surname]],[1]Manpower!C:C,[1]Manpower!D:D,)</f>
        <v>#N/A</v>
      </c>
      <c r="G42" s="3" t="str">
        <f>_xlfn.XLOOKUP([1]!Table134526_79101120212223242526[[#This Row],[Name Surname]],[1]Manpower!$C$4:$C$1048576,[1]Manpower!$F$4:$F$1048576,"")</f>
        <v>22M-Manlift</v>
      </c>
      <c r="H42" s="3" t="str">
        <f>_xlfn.XLOOKUP([1]!Table134526_79101120212223242526[[#This Row],[Name Surname]],[1]Manpower!$C$4:$C$1048576,[1]Manpower!$H$4:$H$1048576,"")</f>
        <v>Equipment</v>
      </c>
      <c r="I42" s="3" t="str">
        <f>_xlfn.XLOOKUP([1]!Table134526_79101120212223242526[[#This Row],[Name Surname]],[1]Manpower!$C$4:$C$1048576,[1]Manpower!$H$4:$H$1048576,"")</f>
        <v>Equipment</v>
      </c>
      <c r="J42" s="5" t="s">
        <v>38</v>
      </c>
      <c r="K42" s="5" t="s">
        <v>7</v>
      </c>
      <c r="L42" s="5" t="s">
        <v>39</v>
      </c>
      <c r="M42" s="5" t="s">
        <v>18</v>
      </c>
      <c r="N42" s="6">
        <v>10</v>
      </c>
      <c r="O42" s="5"/>
      <c r="P42" s="5"/>
      <c r="Q42" s="5"/>
      <c r="R42" s="5" t="s">
        <v>60</v>
      </c>
      <c r="S42" s="8"/>
    </row>
    <row r="43" spans="1:19" x14ac:dyDescent="0.3">
      <c r="A43" s="9" t="e">
        <f>IF(C43="","",MAX($A$2:A41)+1)</f>
        <v>#REF!</v>
      </c>
      <c r="B43" s="17" t="s">
        <v>36</v>
      </c>
      <c r="C43" s="11">
        <v>46083</v>
      </c>
      <c r="D43" s="11" t="str">
        <f>_xlfn.XLOOKUP([1]!Table134526_79101120212223242526[[#This Row],[Name Surname]],[1]Manpower!$C$4:$C$1048576,[1]Manpower!$B$4:$B$1048576,"")</f>
        <v>Encogroup</v>
      </c>
      <c r="E43" s="11" t="s">
        <v>41</v>
      </c>
      <c r="F43" s="12" t="e">
        <f>_xlfn.XLOOKUP([1]!Table134526_79101120212223242526[[#This Row],[Name Surname]],[1]Manpower!C:C,[1]Manpower!D:D,)</f>
        <v>#N/A</v>
      </c>
      <c r="G43" s="11" t="str">
        <f>_xlfn.XLOOKUP([1]!Table134526_79101120212223242526[[#This Row],[Name Surname]],[1]Manpower!$C$4:$C$1048576,[1]Manpower!$F$4:$F$1048576,"")</f>
        <v>22M-Manlift</v>
      </c>
      <c r="H43" s="11" t="str">
        <f>_xlfn.XLOOKUP([1]!Table134526_79101120212223242526[[#This Row],[Name Surname]],[1]Manpower!$C$4:$C$1048576,[1]Manpower!$H$4:$H$1048576,"")</f>
        <v>Equipment</v>
      </c>
      <c r="I43" s="11" t="str">
        <f>_xlfn.XLOOKUP([1]!Table134526_79101120212223242526[[#This Row],[Name Surname]],[1]Manpower!$C$4:$C$1048576,[1]Manpower!$H$4:$H$1048576,"")</f>
        <v>Equipment</v>
      </c>
      <c r="J43" s="13" t="s">
        <v>38</v>
      </c>
      <c r="K43" s="13" t="s">
        <v>7</v>
      </c>
      <c r="L43" s="13" t="s">
        <v>39</v>
      </c>
      <c r="M43" s="13" t="s">
        <v>18</v>
      </c>
      <c r="N43" s="14">
        <v>10</v>
      </c>
      <c r="O43" s="13"/>
      <c r="P43" s="13"/>
      <c r="Q43" s="13"/>
      <c r="R43" s="13" t="s">
        <v>60</v>
      </c>
      <c r="S43" s="15"/>
    </row>
    <row r="44" spans="1:19" x14ac:dyDescent="0.3">
      <c r="A44" s="1" t="e">
        <f>IF(C44="","",MAX($A$2:A43)+1)</f>
        <v>#REF!</v>
      </c>
      <c r="B44" s="17" t="s">
        <v>36</v>
      </c>
      <c r="C44" s="3">
        <v>46083</v>
      </c>
      <c r="D44" s="3" t="str">
        <f>_xlfn.XLOOKUP([1]!Table134526_79101120212223242526[[#This Row],[Name Surname]],[1]Manpower!$C$4:$C$1048576,[1]Manpower!$B$4:$B$1048576,"")</f>
        <v>Nass Group</v>
      </c>
      <c r="E44" s="3" t="s">
        <v>43</v>
      </c>
      <c r="F44" s="4" t="e">
        <f>_xlfn.XLOOKUP([1]!Table134526_79101120212223242526[[#This Row],[Name Surname]],[1]Manpower!C:C,[1]Manpower!D:D,)</f>
        <v>#N/A</v>
      </c>
      <c r="G44" s="3" t="str">
        <f>_xlfn.XLOOKUP([1]!Table134526_79101120212223242526[[#This Row],[Name Surname]],[1]Manpower!$C$4:$C$1048576,[1]Manpower!$F$4:$F$1048576,"")</f>
        <v>70T-Telescopic crane</v>
      </c>
      <c r="H44" s="3" t="str">
        <f>_xlfn.XLOOKUP([1]!Table134526_79101120212223242526[[#This Row],[Name Surname]],[1]Manpower!$C$4:$C$1048576,[1]Manpower!$H$4:$H$1048576,"")</f>
        <v>Equipment</v>
      </c>
      <c r="I44" s="3" t="str">
        <f>_xlfn.XLOOKUP([1]!Table134526_79101120212223242526[[#This Row],[Name Surname]],[1]Manpower!$C$4:$C$1048576,[1]Manpower!$H$4:$H$1048576,"")</f>
        <v>Equipment</v>
      </c>
      <c r="J44" s="5" t="s">
        <v>38</v>
      </c>
      <c r="K44" s="5" t="s">
        <v>7</v>
      </c>
      <c r="L44" s="5" t="s">
        <v>39</v>
      </c>
      <c r="M44" s="5" t="s">
        <v>18</v>
      </c>
      <c r="N44" s="6">
        <v>10</v>
      </c>
      <c r="O44" s="5"/>
      <c r="P44" s="5"/>
      <c r="Q44" s="5"/>
      <c r="R44" s="5" t="s">
        <v>60</v>
      </c>
      <c r="S44" s="8"/>
    </row>
    <row r="45" spans="1:19" x14ac:dyDescent="0.3">
      <c r="A45" s="9" t="e">
        <f>IF(C45="","",MAX($A$2:A44)+1)</f>
        <v>#REF!</v>
      </c>
      <c r="B45" s="17" t="s">
        <v>36</v>
      </c>
      <c r="C45" s="11">
        <v>46083</v>
      </c>
      <c r="D45" s="11" t="str">
        <f>_xlfn.XLOOKUP([1]!Table134526_79101120212223242526[[#This Row],[Name Surname]],[1]Manpower!$C$4:$C$1048576,[1]Manpower!$B$4:$B$1048576,"")</f>
        <v>Encogroup</v>
      </c>
      <c r="E45" s="11" t="s">
        <v>45</v>
      </c>
      <c r="F45" s="12">
        <f>_xlfn.XLOOKUP([1]!Table134526_79101120212223242526[[#This Row],[Name Surname]],[1]Manpower!C:C,[1]Manpower!D:D,)</f>
        <v>126724428</v>
      </c>
      <c r="G45" s="11" t="str">
        <f>_xlfn.XLOOKUP([1]!Table134526_79101120212223242526[[#This Row],[Name Surname]],[1]Manpower!$C$4:$C$1048576,[1]Manpower!$F$4:$F$1048576,"")</f>
        <v>Surveyor</v>
      </c>
      <c r="H45" s="11" t="str">
        <f>_xlfn.XLOOKUP([1]!Table134526_79101120212223242526[[#This Row],[Name Surname]],[1]Manpower!$C$4:$C$1048576,[1]Manpower!$H$4:$H$1048576,"")</f>
        <v>Manpower</v>
      </c>
      <c r="I45" s="11" t="str">
        <f>_xlfn.XLOOKUP([1]!Table134526_79101120212223242526[[#This Row],[Name Surname]],[1]Manpower!$C$4:$C$1048576,[1]Manpower!$H$4:$H$1048576,"")</f>
        <v>Manpower</v>
      </c>
      <c r="J45" s="13" t="s">
        <v>38</v>
      </c>
      <c r="K45" s="13" t="s">
        <v>7</v>
      </c>
      <c r="L45" s="13" t="s">
        <v>39</v>
      </c>
      <c r="M45" s="13" t="s">
        <v>18</v>
      </c>
      <c r="N45" s="14">
        <v>10</v>
      </c>
      <c r="O45" s="13"/>
      <c r="P45" s="13"/>
      <c r="Q45" s="13"/>
      <c r="R45" s="13" t="s">
        <v>60</v>
      </c>
      <c r="S45" s="15"/>
    </row>
    <row r="46" spans="1:19" x14ac:dyDescent="0.3">
      <c r="A46" s="1" t="e">
        <f>IF(C46="","",MAX($A$2:A45)+1)</f>
        <v>#REF!</v>
      </c>
      <c r="B46" s="17" t="s">
        <v>36</v>
      </c>
      <c r="C46" s="3">
        <v>46083</v>
      </c>
      <c r="D46" s="3" t="str">
        <f>_xlfn.XLOOKUP([1]!Table134526_79101120212223242526[[#This Row],[Name Surname]],[1]Manpower!$C$4:$C$1048576,[1]Manpower!$B$4:$B$1048576,"")</f>
        <v>Encogroup</v>
      </c>
      <c r="E46" s="3" t="s">
        <v>46</v>
      </c>
      <c r="F46" s="4">
        <f>_xlfn.XLOOKUP([1]!Table134526_79101120212223242526[[#This Row],[Name Surname]],[1]Manpower!C:C,[1]Manpower!D:D,)</f>
        <v>132915855</v>
      </c>
      <c r="G46" s="3" t="str">
        <f>_xlfn.XLOOKUP([1]!Table134526_79101120212223242526[[#This Row],[Name Surname]],[1]Manpower!$C$4:$C$1048576,[1]Manpower!$F$4:$F$1048576,"")</f>
        <v>Mechanical Supervisor</v>
      </c>
      <c r="H46" s="3" t="str">
        <f>_xlfn.XLOOKUP([1]!Table134526_79101120212223242526[[#This Row],[Name Surname]],[1]Manpower!$C$4:$C$1048576,[1]Manpower!$H$4:$H$1048576,"")</f>
        <v>Manpower</v>
      </c>
      <c r="I46" s="3" t="str">
        <f>_xlfn.XLOOKUP([1]!Table134526_79101120212223242526[[#This Row],[Name Surname]],[1]Manpower!$C$4:$C$1048576,[1]Manpower!$H$4:$H$1048576,"")</f>
        <v>Manpower</v>
      </c>
      <c r="J46" s="5" t="s">
        <v>38</v>
      </c>
      <c r="K46" s="5" t="s">
        <v>7</v>
      </c>
      <c r="L46" s="5" t="s">
        <v>39</v>
      </c>
      <c r="M46" s="5" t="s">
        <v>18</v>
      </c>
      <c r="N46" s="6">
        <v>10</v>
      </c>
      <c r="O46" s="5"/>
      <c r="P46" s="5"/>
      <c r="Q46" s="5"/>
      <c r="R46" s="5" t="s">
        <v>60</v>
      </c>
      <c r="S46" s="8"/>
    </row>
    <row r="47" spans="1:19" x14ac:dyDescent="0.3">
      <c r="A47" s="9" t="e">
        <f>IF(C47="","",MAX($A$2:A46)+1)</f>
        <v>#REF!</v>
      </c>
      <c r="B47" s="17" t="s">
        <v>36</v>
      </c>
      <c r="C47" s="11">
        <v>46083</v>
      </c>
      <c r="D47" s="11" t="str">
        <f>_xlfn.XLOOKUP([1]!Table134526_79101120212223242526[[#This Row],[Name Surname]],[1]Manpower!$C$4:$C$1048576,[1]Manpower!$B$4:$B$1048576,"")</f>
        <v>Encogroup</v>
      </c>
      <c r="E47" s="11" t="s">
        <v>48</v>
      </c>
      <c r="F47" s="12">
        <f>_xlfn.XLOOKUP([1]!Table134526_79101120212223242526[[#This Row],[Name Surname]],[1]Manpower!C:C,[1]Manpower!D:D,)</f>
        <v>141377747</v>
      </c>
      <c r="G47" s="11" t="str">
        <f>_xlfn.XLOOKUP([1]!Table134526_79101120212223242526[[#This Row],[Name Surname]],[1]Manpower!$C$4:$C$1048576,[1]Manpower!$F$4:$F$1048576,"")</f>
        <v>Painter</v>
      </c>
      <c r="H47" s="11" t="str">
        <f>_xlfn.XLOOKUP([1]!Table134526_79101120212223242526[[#This Row],[Name Surname]],[1]Manpower!$C$4:$C$1048576,[1]Manpower!$H$4:$H$1048576,"")</f>
        <v>Manpower</v>
      </c>
      <c r="I47" s="11" t="str">
        <f>_xlfn.XLOOKUP([1]!Table134526_79101120212223242526[[#This Row],[Name Surname]],[1]Manpower!$C$4:$C$1048576,[1]Manpower!$H$4:$H$1048576,"")</f>
        <v>Manpower</v>
      </c>
      <c r="J47" s="13" t="s">
        <v>38</v>
      </c>
      <c r="K47" s="13" t="s">
        <v>7</v>
      </c>
      <c r="L47" s="13" t="s">
        <v>39</v>
      </c>
      <c r="M47" s="13" t="s">
        <v>18</v>
      </c>
      <c r="N47" s="14">
        <v>10</v>
      </c>
      <c r="O47" s="13"/>
      <c r="P47" s="13"/>
      <c r="Q47" s="13"/>
      <c r="R47" s="13" t="s">
        <v>60</v>
      </c>
      <c r="S47" s="15"/>
    </row>
    <row r="48" spans="1:19" x14ac:dyDescent="0.3">
      <c r="A48" s="1" t="e">
        <f>IF(C48="","",MAX($A$2:A47)+1)</f>
        <v>#REF!</v>
      </c>
      <c r="B48" s="17" t="s">
        <v>36</v>
      </c>
      <c r="C48" s="3">
        <v>46083</v>
      </c>
      <c r="D48" s="3" t="str">
        <f>_xlfn.XLOOKUP([1]!Table134526_79101120212223242526[[#This Row],[Name Surname]],[1]Manpower!$C$4:$C$1048576,[1]Manpower!$B$4:$B$1048576,"")</f>
        <v>Encogroup</v>
      </c>
      <c r="E48" s="3" t="s">
        <v>49</v>
      </c>
      <c r="F48" s="4">
        <f>_xlfn.XLOOKUP([1]!Table134526_79101120212223242526[[#This Row],[Name Surname]],[1]Manpower!C:C,[1]Manpower!D:D,)</f>
        <v>141359235</v>
      </c>
      <c r="G48" s="3" t="str">
        <f>_xlfn.XLOOKUP([1]!Table134526_79101120212223242526[[#This Row],[Name Surname]],[1]Manpower!$C$4:$C$1048576,[1]Manpower!$F$4:$F$1048576,"")</f>
        <v>Fitter</v>
      </c>
      <c r="H48" s="3" t="str">
        <f>_xlfn.XLOOKUP([1]!Table134526_79101120212223242526[[#This Row],[Name Surname]],[1]Manpower!$C$4:$C$1048576,[1]Manpower!$H$4:$H$1048576,"")</f>
        <v>Manpower</v>
      </c>
      <c r="I48" s="3" t="str">
        <f>_xlfn.XLOOKUP([1]!Table134526_79101120212223242526[[#This Row],[Name Surname]],[1]Manpower!$C$4:$C$1048576,[1]Manpower!$H$4:$H$1048576,"")</f>
        <v>Manpower</v>
      </c>
      <c r="J48" s="5" t="s">
        <v>38</v>
      </c>
      <c r="K48" s="5" t="s">
        <v>7</v>
      </c>
      <c r="L48" s="5" t="s">
        <v>39</v>
      </c>
      <c r="M48" s="5" t="s">
        <v>18</v>
      </c>
      <c r="N48" s="6">
        <v>10</v>
      </c>
      <c r="O48" s="5"/>
      <c r="P48" s="5"/>
      <c r="Q48" s="5"/>
      <c r="R48" s="5" t="s">
        <v>60</v>
      </c>
      <c r="S48" s="8"/>
    </row>
    <row r="49" spans="1:19" x14ac:dyDescent="0.3">
      <c r="A49" s="9" t="e">
        <f>IF(C49="","",MAX($A$2:A48)+1)</f>
        <v>#REF!</v>
      </c>
      <c r="B49" s="17" t="s">
        <v>36</v>
      </c>
      <c r="C49" s="11">
        <v>46083</v>
      </c>
      <c r="D49" s="11" t="str">
        <f>_xlfn.XLOOKUP([1]!Table134526_79101120212223242526[[#This Row],[Name Surname]],[1]Manpower!$C$4:$C$1048576,[1]Manpower!$B$4:$B$1048576,"")</f>
        <v>Encogroup</v>
      </c>
      <c r="E49" s="11" t="s">
        <v>50</v>
      </c>
      <c r="F49" s="12">
        <f>_xlfn.XLOOKUP([1]!Table134526_79101120212223242526[[#This Row],[Name Surname]],[1]Manpower!C:C,[1]Manpower!D:D,)</f>
        <v>140697025</v>
      </c>
      <c r="G49" s="11" t="str">
        <f>_xlfn.XLOOKUP([1]!Table134526_79101120212223242526[[#This Row],[Name Surname]],[1]Manpower!$C$4:$C$1048576,[1]Manpower!$F$4:$F$1048576,"")</f>
        <v>Assistant/Helper</v>
      </c>
      <c r="H49" s="11" t="str">
        <f>_xlfn.XLOOKUP([1]!Table134526_79101120212223242526[[#This Row],[Name Surname]],[1]Manpower!$C$4:$C$1048576,[1]Manpower!$H$4:$H$1048576,"")</f>
        <v>Manpower</v>
      </c>
      <c r="I49" s="11" t="str">
        <f>_xlfn.XLOOKUP([1]!Table134526_79101120212223242526[[#This Row],[Name Surname]],[1]Manpower!$C$4:$C$1048576,[1]Manpower!$H$4:$H$1048576,"")</f>
        <v>Manpower</v>
      </c>
      <c r="J49" s="13" t="s">
        <v>38</v>
      </c>
      <c r="K49" s="13" t="s">
        <v>7</v>
      </c>
      <c r="L49" s="13" t="s">
        <v>39</v>
      </c>
      <c r="M49" s="13" t="s">
        <v>5</v>
      </c>
      <c r="N49" s="14">
        <v>10</v>
      </c>
      <c r="O49" s="13"/>
      <c r="P49" s="13"/>
      <c r="Q49" s="13"/>
      <c r="R49" s="13" t="s">
        <v>60</v>
      </c>
      <c r="S49" s="15"/>
    </row>
    <row r="50" spans="1:19" x14ac:dyDescent="0.3">
      <c r="A50" s="1" t="e">
        <f>IF(C50="","",MAX($A$2:A49)+1)</f>
        <v>#REF!</v>
      </c>
      <c r="B50" s="17" t="s">
        <v>36</v>
      </c>
      <c r="C50" s="3">
        <v>46083</v>
      </c>
      <c r="D50" s="3" t="str">
        <f>_xlfn.XLOOKUP([1]!Table134526_79101120212223242526[[#This Row],[Name Surname]],[1]Manpower!$C$4:$C$1048576,[1]Manpower!$B$4:$B$1048576,"")</f>
        <v>Encogroup</v>
      </c>
      <c r="E50" s="3" t="s">
        <v>51</v>
      </c>
      <c r="F50" s="4">
        <f>_xlfn.XLOOKUP([1]!Table134526_79101120212223242526[[#This Row],[Name Surname]],[1]Manpower!C:C,[1]Manpower!D:D,)</f>
        <v>141169052</v>
      </c>
      <c r="G50" s="3" t="str">
        <f>_xlfn.XLOOKUP([1]!Table134526_79101120212223242526[[#This Row],[Name Surname]],[1]Manpower!$C$4:$C$1048576,[1]Manpower!$F$4:$F$1048576,"")</f>
        <v>Welder</v>
      </c>
      <c r="H50" s="3" t="str">
        <f>_xlfn.XLOOKUP([1]!Table134526_79101120212223242526[[#This Row],[Name Surname]],[1]Manpower!$C$4:$C$1048576,[1]Manpower!$H$4:$H$1048576,"")</f>
        <v>Manpower</v>
      </c>
      <c r="I50" s="3" t="str">
        <f>_xlfn.XLOOKUP([1]!Table134526_79101120212223242526[[#This Row],[Name Surname]],[1]Manpower!$C$4:$C$1048576,[1]Manpower!$H$4:$H$1048576,"")</f>
        <v>Manpower</v>
      </c>
      <c r="J50" s="5" t="s">
        <v>38</v>
      </c>
      <c r="K50" s="5" t="s">
        <v>7</v>
      </c>
      <c r="L50" s="5" t="s">
        <v>39</v>
      </c>
      <c r="M50" s="5" t="s">
        <v>18</v>
      </c>
      <c r="N50" s="6">
        <v>10</v>
      </c>
      <c r="O50" s="5"/>
      <c r="P50" s="5"/>
      <c r="Q50" s="5"/>
      <c r="R50" s="5" t="s">
        <v>60</v>
      </c>
      <c r="S50" s="8"/>
    </row>
    <row r="51" spans="1:19" x14ac:dyDescent="0.3">
      <c r="A51" s="9" t="e">
        <f>IF(C51="","",MAX($A$2:A50)+1)</f>
        <v>#REF!</v>
      </c>
      <c r="B51" s="17" t="s">
        <v>36</v>
      </c>
      <c r="C51" s="11">
        <v>46083</v>
      </c>
      <c r="D51" s="11" t="str">
        <f>_xlfn.XLOOKUP([1]!Table134526_79101120212223242526[[#This Row],[Name Surname]],[1]Manpower!$C$4:$C$1048576,[1]Manpower!$B$4:$B$1048576,"")</f>
        <v>Encogroup</v>
      </c>
      <c r="E51" s="11" t="s">
        <v>52</v>
      </c>
      <c r="F51" s="12">
        <f>_xlfn.XLOOKUP([1]!Table134526_79101120212223242526[[#This Row],[Name Surname]],[1]Manpower!C:C,[1]Manpower!D:D,)</f>
        <v>141365075</v>
      </c>
      <c r="G51" s="11" t="str">
        <f>_xlfn.XLOOKUP([1]!Table134526_79101120212223242526[[#This Row],[Name Surname]],[1]Manpower!$C$4:$C$1048576,[1]Manpower!$F$4:$F$1048576,"")</f>
        <v>Helper</v>
      </c>
      <c r="H51" s="11" t="str">
        <f>_xlfn.XLOOKUP([1]!Table134526_79101120212223242526[[#This Row],[Name Surname]],[1]Manpower!$C$4:$C$1048576,[1]Manpower!$H$4:$H$1048576,"")</f>
        <v>Manpower</v>
      </c>
      <c r="I51" s="11" t="str">
        <f>_xlfn.XLOOKUP([1]!Table134526_79101120212223242526[[#This Row],[Name Surname]],[1]Manpower!$C$4:$C$1048576,[1]Manpower!$H$4:$H$1048576,"")</f>
        <v>Manpower</v>
      </c>
      <c r="J51" s="13" t="s">
        <v>38</v>
      </c>
      <c r="K51" s="13" t="s">
        <v>7</v>
      </c>
      <c r="L51" s="13" t="s">
        <v>39</v>
      </c>
      <c r="M51" s="13" t="s">
        <v>18</v>
      </c>
      <c r="N51" s="14">
        <v>10</v>
      </c>
      <c r="O51" s="13"/>
      <c r="P51" s="13"/>
      <c r="Q51" s="13"/>
      <c r="R51" s="13" t="s">
        <v>60</v>
      </c>
      <c r="S51" s="15"/>
    </row>
    <row r="52" spans="1:19" x14ac:dyDescent="0.3">
      <c r="A52" s="1" t="e">
        <f>IF(C52="","",MAX($A$2:A51)+1)</f>
        <v>#REF!</v>
      </c>
      <c r="B52" s="17" t="s">
        <v>36</v>
      </c>
      <c r="C52" s="3">
        <v>46083</v>
      </c>
      <c r="D52" s="3" t="str">
        <f>_xlfn.XLOOKUP([1]!Table134526_79101120212223242526[[#This Row],[Name Surname]],[1]Manpower!$C$4:$C$1048576,[1]Manpower!$B$4:$B$1048576,"")</f>
        <v>SARENS NASS</v>
      </c>
      <c r="E52" s="3" t="s">
        <v>53</v>
      </c>
      <c r="F52" s="4">
        <f>_xlfn.XLOOKUP([1]!Table134526_79101120212223242526[[#This Row],[Name Surname]],[1]Manpower!C:C,[1]Manpower!D:D,)</f>
        <v>79502392</v>
      </c>
      <c r="G52" s="3" t="str">
        <f>_xlfn.XLOOKUP([1]!Table134526_79101120212223242526[[#This Row],[Name Surname]],[1]Manpower!$C$4:$C$1048576,[1]Manpower!$F$4:$F$1048576,"")</f>
        <v>Crane Operator- 70T Liebherr Telescopic Crane-01</v>
      </c>
      <c r="H52" s="3" t="str">
        <f>_xlfn.XLOOKUP([1]!Table134526_79101120212223242526[[#This Row],[Name Surname]],[1]Manpower!$C$4:$C$1048576,[1]Manpower!$H$4:$H$1048576,"")</f>
        <v>Manpower</v>
      </c>
      <c r="I52" s="3" t="str">
        <f>_xlfn.XLOOKUP([1]!Table134526_79101120212223242526[[#This Row],[Name Surname]],[1]Manpower!$C$4:$C$1048576,[1]Manpower!$H$4:$H$1048576,"")</f>
        <v>Manpower</v>
      </c>
      <c r="J52" s="5" t="s">
        <v>38</v>
      </c>
      <c r="K52" s="5" t="s">
        <v>7</v>
      </c>
      <c r="L52" s="5" t="s">
        <v>39</v>
      </c>
      <c r="M52" s="5" t="s">
        <v>18</v>
      </c>
      <c r="N52" s="6">
        <v>10</v>
      </c>
      <c r="O52" s="5"/>
      <c r="P52" s="5"/>
      <c r="Q52" s="5"/>
      <c r="R52" s="5" t="s">
        <v>60</v>
      </c>
      <c r="S52" s="8"/>
    </row>
    <row r="53" spans="1:19" x14ac:dyDescent="0.3">
      <c r="A53" s="9" t="e">
        <f>IF(C53="","",MAX($A$2:A52)+1)</f>
        <v>#REF!</v>
      </c>
      <c r="B53" s="17" t="s">
        <v>36</v>
      </c>
      <c r="C53" s="11">
        <v>46083</v>
      </c>
      <c r="D53" s="11" t="str">
        <f>_xlfn.XLOOKUP([1]!Table134526_79101120212223242526[[#This Row],[Name Surname]],[1]Manpower!$C$4:$C$1048576,[1]Manpower!$B$4:$B$1048576,"")</f>
        <v>Encogroup</v>
      </c>
      <c r="E53" s="11" t="s">
        <v>54</v>
      </c>
      <c r="F53" s="12">
        <f>_xlfn.XLOOKUP([1]!Table134526_79101120212223242526[[#This Row],[Name Surname]],[1]Manpower!C:C,[1]Manpower!D:D,)</f>
        <v>141358993</v>
      </c>
      <c r="G53" s="11" t="str">
        <f>_xlfn.XLOOKUP([1]!Table134526_79101120212223242526[[#This Row],[Name Surname]],[1]Manpower!$C$4:$C$1048576,[1]Manpower!$F$4:$F$1048576,"")</f>
        <v>Fitter</v>
      </c>
      <c r="H53" s="11" t="str">
        <f>_xlfn.XLOOKUP([1]!Table134526_79101120212223242526[[#This Row],[Name Surname]],[1]Manpower!$C$4:$C$1048576,[1]Manpower!$H$4:$H$1048576,"")</f>
        <v>Manpower</v>
      </c>
      <c r="I53" s="11" t="str">
        <f>_xlfn.XLOOKUP([1]!Table134526_79101120212223242526[[#This Row],[Name Surname]],[1]Manpower!$C$4:$C$1048576,[1]Manpower!$H$4:$H$1048576,"")</f>
        <v>Manpower</v>
      </c>
      <c r="J53" s="13" t="s">
        <v>38</v>
      </c>
      <c r="K53" s="13" t="s">
        <v>7</v>
      </c>
      <c r="L53" s="13" t="s">
        <v>39</v>
      </c>
      <c r="M53" s="13" t="s">
        <v>18</v>
      </c>
      <c r="N53" s="14">
        <v>10</v>
      </c>
      <c r="O53" s="13"/>
      <c r="P53" s="13"/>
      <c r="Q53" s="13"/>
      <c r="R53" s="13" t="s">
        <v>60</v>
      </c>
      <c r="S53" s="15"/>
    </row>
    <row r="54" spans="1:19" x14ac:dyDescent="0.3">
      <c r="A54" s="1" t="e">
        <f>IF(C54="","",MAX($A$2:A53)+1)</f>
        <v>#REF!</v>
      </c>
      <c r="B54" s="17" t="s">
        <v>36</v>
      </c>
      <c r="C54" s="3">
        <v>46083</v>
      </c>
      <c r="D54" s="3" t="str">
        <f>_xlfn.XLOOKUP([1]!Table134526_79101120212223242526[[#This Row],[Name Surname]],[1]Manpower!$C$4:$C$1048576,[1]Manpower!$B$4:$B$1048576,"")</f>
        <v>Encogroup</v>
      </c>
      <c r="E54" s="3" t="s">
        <v>55</v>
      </c>
      <c r="F54" s="4" t="str">
        <f>_xlfn.XLOOKUP([1]!Table134526_79101120212223242526[[#This Row],[Name Surname]],[1]Manpower!C:C,[1]Manpower!D:D,)</f>
        <v>R3971143</v>
      </c>
      <c r="G54" s="3" t="str">
        <f>_xlfn.XLOOKUP([1]!Table134526_79101120212223242526[[#This Row],[Name Surname]],[1]Manpower!$C$4:$C$1048576,[1]Manpower!$F$4:$F$1048576,"")</f>
        <v>Mechanical Foreman</v>
      </c>
      <c r="H54" s="3" t="str">
        <f>_xlfn.XLOOKUP([1]!Table134526_79101120212223242526[[#This Row],[Name Surname]],[1]Manpower!$C$4:$C$1048576,[1]Manpower!$H$4:$H$1048576,"")</f>
        <v>Manpower</v>
      </c>
      <c r="I54" s="3" t="str">
        <f>_xlfn.XLOOKUP([1]!Table134526_79101120212223242526[[#This Row],[Name Surname]],[1]Manpower!$C$4:$C$1048576,[1]Manpower!$H$4:$H$1048576,"")</f>
        <v>Manpower</v>
      </c>
      <c r="J54" s="5" t="s">
        <v>38</v>
      </c>
      <c r="K54" s="5" t="s">
        <v>7</v>
      </c>
      <c r="L54" s="5" t="s">
        <v>39</v>
      </c>
      <c r="M54" s="5" t="s">
        <v>18</v>
      </c>
      <c r="N54" s="6">
        <v>10</v>
      </c>
      <c r="O54" s="5"/>
      <c r="P54" s="5"/>
      <c r="Q54" s="5"/>
      <c r="R54" s="5" t="s">
        <v>60</v>
      </c>
      <c r="S54" s="8"/>
    </row>
    <row r="55" spans="1:19" x14ac:dyDescent="0.3">
      <c r="A55" s="9" t="e">
        <f>IF(C55="","",MAX($A$2:A54)+1)</f>
        <v>#REF!</v>
      </c>
      <c r="B55" s="17" t="s">
        <v>36</v>
      </c>
      <c r="C55" s="11">
        <v>46083</v>
      </c>
      <c r="D55" s="11" t="str">
        <f>_xlfn.XLOOKUP([1]!Table134526_79101120212223242526[[#This Row],[Name Surname]],[1]Manpower!$C$4:$C$1048576,[1]Manpower!$B$4:$B$1048576,"")</f>
        <v>Encogroup</v>
      </c>
      <c r="E55" s="11" t="s">
        <v>56</v>
      </c>
      <c r="F55" s="12">
        <f>_xlfn.XLOOKUP([1]!Table134526_79101120212223242526[[#This Row],[Name Surname]],[1]Manpower!C:C,[1]Manpower!D:D,)</f>
        <v>116858297</v>
      </c>
      <c r="G55" s="11" t="str">
        <f>_xlfn.XLOOKUP([1]!Table134526_79101120212223242526[[#This Row],[Name Surname]],[1]Manpower!$C$4:$C$1048576,[1]Manpower!$F$4:$F$1048576,"")</f>
        <v>Mechanical Superintendent</v>
      </c>
      <c r="H55" s="11" t="str">
        <f>_xlfn.XLOOKUP([1]!Table134526_79101120212223242526[[#This Row],[Name Surname]],[1]Manpower!$C$4:$C$1048576,[1]Manpower!$H$4:$H$1048576,"")</f>
        <v>Manpower</v>
      </c>
      <c r="I55" s="11" t="str">
        <f>_xlfn.XLOOKUP([1]!Table134526_79101120212223242526[[#This Row],[Name Surname]],[1]Manpower!$C$4:$C$1048576,[1]Manpower!$H$4:$H$1048576,"")</f>
        <v>Manpower</v>
      </c>
      <c r="J55" s="13" t="s">
        <v>38</v>
      </c>
      <c r="K55" s="13" t="s">
        <v>7</v>
      </c>
      <c r="L55" s="13" t="s">
        <v>39</v>
      </c>
      <c r="M55" s="13" t="s">
        <v>18</v>
      </c>
      <c r="N55" s="14">
        <v>10</v>
      </c>
      <c r="O55" s="13"/>
      <c r="P55" s="13"/>
      <c r="Q55" s="13"/>
      <c r="R55" s="13" t="s">
        <v>60</v>
      </c>
      <c r="S55" s="15"/>
    </row>
    <row r="56" spans="1:19" x14ac:dyDescent="0.3">
      <c r="A56" s="1" t="e">
        <f>IF(C56="","",MAX($A$2:A55)+1)</f>
        <v>#REF!</v>
      </c>
      <c r="B56" s="17" t="s">
        <v>36</v>
      </c>
      <c r="C56" s="3">
        <v>46083</v>
      </c>
      <c r="D56" s="3" t="str">
        <f>_xlfn.XLOOKUP([1]!Table134526_79101120212223242526[[#This Row],[Name Surname]],[1]Manpower!$C$4:$C$1048576,[1]Manpower!$B$4:$B$1048576,"")</f>
        <v>Encogroup</v>
      </c>
      <c r="E56" s="3" t="s">
        <v>57</v>
      </c>
      <c r="F56" s="4">
        <f>_xlfn.XLOOKUP([1]!Table134526_79101120212223242526[[#This Row],[Name Surname]],[1]Manpower!C:C,[1]Manpower!D:D,)</f>
        <v>123805496</v>
      </c>
      <c r="G56" s="3" t="str">
        <f>_xlfn.XLOOKUP([1]!Table134526_79101120212223242526[[#This Row],[Name Surname]],[1]Manpower!$C$4:$C$1048576,[1]Manpower!$F$4:$F$1048576,"")</f>
        <v>Fitter/Erector</v>
      </c>
      <c r="H56" s="3" t="str">
        <f>_xlfn.XLOOKUP([1]!Table134526_79101120212223242526[[#This Row],[Name Surname]],[1]Manpower!$C$4:$C$1048576,[1]Manpower!$H$4:$H$1048576,"")</f>
        <v>Manpower</v>
      </c>
      <c r="I56" s="3" t="str">
        <f>_xlfn.XLOOKUP([1]!Table134526_79101120212223242526[[#This Row],[Name Surname]],[1]Manpower!$C$4:$C$1048576,[1]Manpower!$H$4:$H$1048576,"")</f>
        <v>Manpower</v>
      </c>
      <c r="J56" s="5" t="s">
        <v>38</v>
      </c>
      <c r="K56" s="5" t="s">
        <v>7</v>
      </c>
      <c r="L56" s="5" t="s">
        <v>39</v>
      </c>
      <c r="M56" s="5" t="s">
        <v>18</v>
      </c>
      <c r="N56" s="6">
        <v>10</v>
      </c>
      <c r="O56" s="5"/>
      <c r="P56" s="5"/>
      <c r="Q56" s="5"/>
      <c r="R56" s="5" t="s">
        <v>60</v>
      </c>
      <c r="S56" s="8"/>
    </row>
    <row r="57" spans="1:19" x14ac:dyDescent="0.3">
      <c r="A57" s="9" t="e">
        <f>IF(C57="","",MAX($A$2:A56)+1)</f>
        <v>#REF!</v>
      </c>
      <c r="B57" s="17" t="s">
        <v>36</v>
      </c>
      <c r="C57" s="11">
        <v>46083</v>
      </c>
      <c r="D57" s="11" t="str">
        <f>_xlfn.XLOOKUP([1]!Table134526_79101120212223242526[[#This Row],[Name Surname]],[1]Manpower!$C$4:$C$1048576,[1]Manpower!$B$4:$B$1048576,"")</f>
        <v>Encogroup</v>
      </c>
      <c r="E57" s="11" t="s">
        <v>58</v>
      </c>
      <c r="F57" s="12">
        <f>_xlfn.XLOOKUP([1]!Table134526_79101120212223242526[[#This Row],[Name Surname]],[1]Manpower!C:C,[1]Manpower!D:D,)</f>
        <v>136277866</v>
      </c>
      <c r="G57" s="11" t="str">
        <f>_xlfn.XLOOKUP([1]!Table134526_79101120212223242526[[#This Row],[Name Surname]],[1]Manpower!$C$4:$C$1048576,[1]Manpower!$F$4:$F$1048576,"")</f>
        <v>Permit Receiver</v>
      </c>
      <c r="H57" s="11" t="str">
        <f>_xlfn.XLOOKUP([1]!Table134526_79101120212223242526[[#This Row],[Name Surname]],[1]Manpower!$C$4:$C$1048576,[1]Manpower!$H$4:$H$1048576,"")</f>
        <v>Manpower</v>
      </c>
      <c r="I57" s="11" t="str">
        <f>_xlfn.XLOOKUP([1]!Table134526_79101120212223242526[[#This Row],[Name Surname]],[1]Manpower!$C$4:$C$1048576,[1]Manpower!$H$4:$H$1048576,"")</f>
        <v>Manpower</v>
      </c>
      <c r="J57" s="13" t="s">
        <v>38</v>
      </c>
      <c r="K57" s="13" t="s">
        <v>7</v>
      </c>
      <c r="L57" s="13" t="s">
        <v>39</v>
      </c>
      <c r="M57" s="13" t="s">
        <v>18</v>
      </c>
      <c r="N57" s="14">
        <v>10</v>
      </c>
      <c r="O57" s="13"/>
      <c r="P57" s="13"/>
      <c r="Q57" s="13"/>
      <c r="R57" s="13" t="s">
        <v>60</v>
      </c>
      <c r="S57" s="15"/>
    </row>
    <row r="58" spans="1:19" x14ac:dyDescent="0.3">
      <c r="A58" s="1" t="e">
        <f>IF(C58="","",MAX($A$2:A57)+1)</f>
        <v>#REF!</v>
      </c>
      <c r="B58" s="17" t="s">
        <v>36</v>
      </c>
      <c r="C58" s="3">
        <v>46083</v>
      </c>
      <c r="D58" s="3" t="str">
        <f>_xlfn.XLOOKUP([1]!Table134526_79101120212223242526[[#This Row],[Name Surname]],[1]Manpower!$C$4:$C$1048576,[1]Manpower!$B$4:$B$1048576,"")</f>
        <v>Encogroup</v>
      </c>
      <c r="E58" s="3" t="s">
        <v>59</v>
      </c>
      <c r="F58" s="4">
        <f>_xlfn.XLOOKUP([1]!Table134526_79101120212223242526[[#This Row],[Name Surname]],[1]Manpower!C:C,[1]Manpower!D:D,)</f>
        <v>120653364</v>
      </c>
      <c r="G58" s="3" t="str">
        <f>_xlfn.XLOOKUP([1]!Table134526_79101120212223242526[[#This Row],[Name Surname]],[1]Manpower!$C$4:$C$1048576,[1]Manpower!$F$4:$F$1048576,"")</f>
        <v>Surveyor</v>
      </c>
      <c r="H58" s="3" t="str">
        <f>_xlfn.XLOOKUP([1]!Table134526_79101120212223242526[[#This Row],[Name Surname]],[1]Manpower!$C$4:$C$1048576,[1]Manpower!$H$4:$H$1048576,"")</f>
        <v>Manpower</v>
      </c>
      <c r="I58" s="3" t="str">
        <f>_xlfn.XLOOKUP([1]!Table134526_79101120212223242526[[#This Row],[Name Surname]],[1]Manpower!$C$4:$C$1048576,[1]Manpower!$H$4:$H$1048576,"")</f>
        <v>Manpower</v>
      </c>
      <c r="J58" s="5" t="s">
        <v>38</v>
      </c>
      <c r="K58" s="5" t="s">
        <v>7</v>
      </c>
      <c r="L58" s="5" t="s">
        <v>39</v>
      </c>
      <c r="M58" s="5" t="s">
        <v>18</v>
      </c>
      <c r="N58" s="6">
        <v>10</v>
      </c>
      <c r="O58" s="5"/>
      <c r="P58" s="5"/>
      <c r="Q58" s="5"/>
      <c r="R58" s="5" t="s">
        <v>60</v>
      </c>
      <c r="S58" s="8"/>
    </row>
    <row r="59" spans="1:19" x14ac:dyDescent="0.3">
      <c r="A59" s="9" t="e">
        <f>IF(C59="","",MAX($A$2:A58)+1)</f>
        <v>#REF!</v>
      </c>
      <c r="B59" s="2" t="s">
        <v>0</v>
      </c>
      <c r="C59" s="11">
        <v>46084</v>
      </c>
      <c r="D59" s="13" t="str">
        <f>_xlfn.XLOOKUP([1]!Table134526_79101120212223242526[[#This Row],[Name Surname]],[1]Manpower!$C$4:$C$1048576,[1]Manpower!$B$4:$B$1048576,"")</f>
        <v>Encogroup</v>
      </c>
      <c r="E59" s="11" t="s">
        <v>1</v>
      </c>
      <c r="F59" s="12">
        <f>_xlfn.XLOOKUP([1]!Table134526_79101120212223242526[[#This Row],[Name Surname]],[1]Manpower!C:C,[1]Manpower!D:D,)</f>
        <v>140663253</v>
      </c>
      <c r="G59" s="13" t="str">
        <f>_xlfn.XLOOKUP([1]!Table134526_79101120212223242526[[#This Row],[Name Surname]],[1]Manpower!$C$4:$C$1048576,[1]Manpower!$F$4:$F$1048576,"")</f>
        <v>Painting Inspector</v>
      </c>
      <c r="H59" s="13" t="str">
        <f>_xlfn.XLOOKUP([1]!Table134526_79101120212223242526[[#This Row],[Name Surname]],[1]Manpower!$C$4:$C$1048576,[1]Manpower!$H$4:$H$1048576,"")</f>
        <v>Manpower</v>
      </c>
      <c r="I59" s="11" t="str">
        <f>_xlfn.XLOOKUP([1]!Table134526_79101120212223242526[[#This Row],[Name Surname]],[1]Manpower!$C$4:$C$1048576,[1]Manpower!$H$4:$H$1048576,"")</f>
        <v>Manpower</v>
      </c>
      <c r="J59" s="13" t="s">
        <v>2</v>
      </c>
      <c r="K59" s="13" t="s">
        <v>3</v>
      </c>
      <c r="L59" s="13" t="s">
        <v>4</v>
      </c>
      <c r="M59" s="13" t="s">
        <v>18</v>
      </c>
      <c r="N59" s="14">
        <v>10</v>
      </c>
      <c r="O59" s="13"/>
      <c r="P59" s="13"/>
      <c r="Q59" s="13"/>
      <c r="R59" s="13" t="s">
        <v>60</v>
      </c>
      <c r="S59" s="15"/>
    </row>
    <row r="60" spans="1:19" x14ac:dyDescent="0.3">
      <c r="A60" s="1" t="e">
        <f>IF(C60="","",MAX($A$2:A59)+1)</f>
        <v>#REF!</v>
      </c>
      <c r="B60" s="10" t="s">
        <v>0</v>
      </c>
      <c r="C60" s="3">
        <v>46084</v>
      </c>
      <c r="D60" s="5" t="str">
        <f>_xlfn.XLOOKUP([1]!Table134526_79101120212223242526[[#This Row],[Name Surname]],[1]Manpower!$C$4:$C$1048576,[1]Manpower!$B$4:$B$1048576,"")</f>
        <v>Encogroup</v>
      </c>
      <c r="E60" s="3" t="s">
        <v>61</v>
      </c>
      <c r="F60" s="4">
        <f>_xlfn.XLOOKUP([1]!Table134526_79101120212223242526[[#This Row],[Name Surname]],[1]Manpower!C:C,[1]Manpower!D:D,)</f>
        <v>140796986</v>
      </c>
      <c r="G60" s="5" t="str">
        <f>_xlfn.XLOOKUP([1]!Table134526_79101120212223242526[[#This Row],[Name Surname]],[1]Manpower!$C$4:$C$1048576,[1]Manpower!$F$4:$F$1048576,"")</f>
        <v>Mechanical QC</v>
      </c>
      <c r="H60" s="5" t="str">
        <f>_xlfn.XLOOKUP([1]!Table134526_79101120212223242526[[#This Row],[Name Surname]],[1]Manpower!$C$4:$C$1048576,[1]Manpower!$H$4:$H$1048576,"")</f>
        <v>Manpower</v>
      </c>
      <c r="I60" s="3" t="str">
        <f>_xlfn.XLOOKUP([1]!Table134526_79101120212223242526[[#This Row],[Name Surname]],[1]Manpower!$C$4:$C$1048576,[1]Manpower!$H$4:$H$1048576,"")</f>
        <v>Manpower</v>
      </c>
      <c r="J60" s="5" t="s">
        <v>9</v>
      </c>
      <c r="K60" s="5" t="s">
        <v>7</v>
      </c>
      <c r="L60" s="5" t="s">
        <v>10</v>
      </c>
      <c r="M60" s="5" t="s">
        <v>18</v>
      </c>
      <c r="N60" s="6">
        <v>10</v>
      </c>
      <c r="O60" s="5"/>
      <c r="P60" s="5"/>
      <c r="Q60" s="5"/>
      <c r="R60" s="5" t="s">
        <v>60</v>
      </c>
      <c r="S60" s="8"/>
    </row>
    <row r="61" spans="1:19" x14ac:dyDescent="0.3">
      <c r="A61" s="9" t="e">
        <f>IF(C61="","",MAX($A$2:A60)+1)</f>
        <v>#REF!</v>
      </c>
      <c r="B61" s="10" t="s">
        <v>0</v>
      </c>
      <c r="C61" s="11">
        <v>46084</v>
      </c>
      <c r="D61" s="13" t="str">
        <f>_xlfn.XLOOKUP([1]!Table134526_79101120212223242526[[#This Row],[Name Surname]],[1]Manpower!$C$4:$C$1048576,[1]Manpower!$B$4:$B$1048576,"")</f>
        <v>Encogroup</v>
      </c>
      <c r="E61" s="11" t="s">
        <v>8</v>
      </c>
      <c r="F61" s="12">
        <f>_xlfn.XLOOKUP([1]!Table134526_79101120212223242526[[#This Row],[Name Surname]],[1]Manpower!C:C,[1]Manpower!D:D,)</f>
        <v>140844604</v>
      </c>
      <c r="G61" s="13" t="str">
        <f>_xlfn.XLOOKUP([1]!Table134526_79101120212223242526[[#This Row],[Name Surname]],[1]Manpower!$C$4:$C$1048576,[1]Manpower!$F$4:$F$1048576,"")</f>
        <v>Painter</v>
      </c>
      <c r="H61" s="13" t="str">
        <f>_xlfn.XLOOKUP([1]!Table134526_79101120212223242526[[#This Row],[Name Surname]],[1]Manpower!$C$4:$C$1048576,[1]Manpower!$H$4:$H$1048576,"")</f>
        <v>Manpower</v>
      </c>
      <c r="I61" s="11" t="str">
        <f>_xlfn.XLOOKUP([1]!Table134526_79101120212223242526[[#This Row],[Name Surname]],[1]Manpower!$C$4:$C$1048576,[1]Manpower!$H$4:$H$1048576,"")</f>
        <v>Manpower</v>
      </c>
      <c r="J61" s="13" t="s">
        <v>9</v>
      </c>
      <c r="K61" s="13" t="s">
        <v>7</v>
      </c>
      <c r="L61" s="13" t="s">
        <v>10</v>
      </c>
      <c r="M61" s="13" t="s">
        <v>18</v>
      </c>
      <c r="N61" s="14">
        <v>10</v>
      </c>
      <c r="O61" s="13"/>
      <c r="P61" s="13"/>
      <c r="Q61" s="13"/>
      <c r="R61" s="13" t="s">
        <v>60</v>
      </c>
      <c r="S61" s="15"/>
    </row>
    <row r="62" spans="1:19" x14ac:dyDescent="0.3">
      <c r="A62" s="1" t="e">
        <f>IF(C62="","",MAX($A$2:A61)+1)</f>
        <v>#REF!</v>
      </c>
      <c r="B62" s="10" t="s">
        <v>0</v>
      </c>
      <c r="C62" s="3">
        <v>46084</v>
      </c>
      <c r="D62" s="5" t="str">
        <f>_xlfn.XLOOKUP([1]!Table134526_79101120212223242526[[#This Row],[Name Surname]],[1]Manpower!$C$4:$C$1048576,[1]Manpower!$B$4:$B$1048576,"")</f>
        <v>Encogroup</v>
      </c>
      <c r="E62" s="3" t="s">
        <v>15</v>
      </c>
      <c r="F62" s="4">
        <f>_xlfn.XLOOKUP([1]!Table134526_79101120212223242526[[#This Row],[Name Surname]],[1]Manpower!C:C,[1]Manpower!D:D,)</f>
        <v>140844783</v>
      </c>
      <c r="G62" s="5" t="str">
        <f>_xlfn.XLOOKUP([1]!Table134526_79101120212223242526[[#This Row],[Name Surname]],[1]Manpower!$C$4:$C$1048576,[1]Manpower!$F$4:$F$1048576,"")</f>
        <v>Painter</v>
      </c>
      <c r="H62" s="5" t="str">
        <f>_xlfn.XLOOKUP([1]!Table134526_79101120212223242526[[#This Row],[Name Surname]],[1]Manpower!$C$4:$C$1048576,[1]Manpower!$H$4:$H$1048576,"")</f>
        <v>Manpower</v>
      </c>
      <c r="I62" s="3" t="str">
        <f>_xlfn.XLOOKUP([1]!Table134526_79101120212223242526[[#This Row],[Name Surname]],[1]Manpower!$C$4:$C$1048576,[1]Manpower!$H$4:$H$1048576,"")</f>
        <v>Manpower</v>
      </c>
      <c r="J62" s="5" t="s">
        <v>9</v>
      </c>
      <c r="K62" s="5" t="s">
        <v>7</v>
      </c>
      <c r="L62" s="5" t="s">
        <v>10</v>
      </c>
      <c r="M62" s="5" t="s">
        <v>18</v>
      </c>
      <c r="N62" s="6">
        <v>10</v>
      </c>
      <c r="O62" s="5"/>
      <c r="P62" s="5"/>
      <c r="Q62" s="5"/>
      <c r="R62" s="5" t="s">
        <v>60</v>
      </c>
      <c r="S62" s="8"/>
    </row>
    <row r="63" spans="1:19" x14ac:dyDescent="0.3">
      <c r="A63" s="9" t="e">
        <f>IF(C63="","",MAX($A$2:A62)+1)</f>
        <v>#REF!</v>
      </c>
      <c r="B63" s="10" t="s">
        <v>0</v>
      </c>
      <c r="C63" s="11">
        <v>46084</v>
      </c>
      <c r="D63" s="13" t="str">
        <f>_xlfn.XLOOKUP([1]!Table134526_79101120212223242526[[#This Row],[Name Surname]],[1]Manpower!$C$4:$C$1048576,[1]Manpower!$B$4:$B$1048576,"")</f>
        <v>Encogroup</v>
      </c>
      <c r="E63" s="11" t="s">
        <v>17</v>
      </c>
      <c r="F63" s="12" t="str">
        <f>_xlfn.XLOOKUP([1]!Table134526_79101120212223242526[[#This Row],[Name Surname]],[1]Manpower!C:C,[1]Manpower!D:D,)</f>
        <v>AG111207</v>
      </c>
      <c r="G63" s="13" t="str">
        <f>_xlfn.XLOOKUP([1]!Table134526_79101120212223242526[[#This Row],[Name Surname]],[1]Manpower!$C$4:$C$1048576,[1]Manpower!$F$4:$F$1048576,"")</f>
        <v>Assistant/Helper</v>
      </c>
      <c r="H63" s="13" t="str">
        <f>_xlfn.XLOOKUP([1]!Table134526_79101120212223242526[[#This Row],[Name Surname]],[1]Manpower!$C$4:$C$1048576,[1]Manpower!$H$4:$H$1048576,"")</f>
        <v>Manpower</v>
      </c>
      <c r="I63" s="11" t="str">
        <f>_xlfn.XLOOKUP([1]!Table134526_79101120212223242526[[#This Row],[Name Surname]],[1]Manpower!$C$4:$C$1048576,[1]Manpower!$H$4:$H$1048576,"")</f>
        <v>Manpower</v>
      </c>
      <c r="J63" s="13" t="s">
        <v>9</v>
      </c>
      <c r="K63" s="13" t="s">
        <v>7</v>
      </c>
      <c r="L63" s="13" t="s">
        <v>10</v>
      </c>
      <c r="M63" s="13" t="s">
        <v>18</v>
      </c>
      <c r="N63" s="14">
        <v>5</v>
      </c>
      <c r="O63" s="13"/>
      <c r="P63" s="13"/>
      <c r="Q63" s="13"/>
      <c r="R63" s="13" t="s">
        <v>60</v>
      </c>
      <c r="S63" s="15"/>
    </row>
    <row r="64" spans="1:19" x14ac:dyDescent="0.3">
      <c r="A64" s="1" t="e">
        <f>IF(C64="","",MAX($A$2:A63)+1)</f>
        <v>#REF!</v>
      </c>
      <c r="B64" s="10" t="s">
        <v>0</v>
      </c>
      <c r="C64" s="3">
        <v>46084</v>
      </c>
      <c r="D64" s="3" t="str">
        <f>_xlfn.XLOOKUP([1]!Table134526_79101120212223242526[[#This Row],[Name Surname]],[1]Manpower!$C$4:$C$1048576,[1]Manpower!$B$4:$B$1048576,"")</f>
        <v>Encogroup</v>
      </c>
      <c r="E64" s="3" t="s">
        <v>20</v>
      </c>
      <c r="F64" s="4">
        <f>_xlfn.XLOOKUP([1]!Table134526_79101120212223242526[[#This Row],[Name Surname]],[1]Manpower!C:C,[1]Manpower!D:D,)</f>
        <v>140844778</v>
      </c>
      <c r="G64" s="3" t="str">
        <f>_xlfn.XLOOKUP([1]!Table134526_79101120212223242526[[#This Row],[Name Surname]],[1]Manpower!$C$4:$C$1048576,[1]Manpower!$F$4:$F$1048576,"")</f>
        <v>Painter</v>
      </c>
      <c r="H64" s="3" t="str">
        <f>_xlfn.XLOOKUP([1]!Table134526_79101120212223242526[[#This Row],[Name Surname]],[1]Manpower!$C$4:$C$1048576,[1]Manpower!$H$4:$H$1048576,"")</f>
        <v>Manpower</v>
      </c>
      <c r="I64" s="3" t="str">
        <f>_xlfn.XLOOKUP([1]!Table134526_79101120212223242526[[#This Row],[Name Surname]],[1]Manpower!$C$4:$C$1048576,[1]Manpower!$H$4:$H$1048576,"")</f>
        <v>Manpower</v>
      </c>
      <c r="J64" s="5" t="s">
        <v>9</v>
      </c>
      <c r="K64" s="5" t="s">
        <v>7</v>
      </c>
      <c r="L64" s="5" t="s">
        <v>10</v>
      </c>
      <c r="M64" s="5" t="s">
        <v>18</v>
      </c>
      <c r="N64" s="6">
        <v>10</v>
      </c>
      <c r="O64" s="5"/>
      <c r="P64" s="5"/>
      <c r="Q64" s="5"/>
      <c r="R64" s="5" t="s">
        <v>60</v>
      </c>
      <c r="S64" s="8"/>
    </row>
    <row r="65" spans="1:19" x14ac:dyDescent="0.3">
      <c r="A65" s="9" t="e">
        <f>IF(C65="","",MAX($A$2:A64)+1)</f>
        <v>#REF!</v>
      </c>
      <c r="B65" s="16" t="s">
        <v>21</v>
      </c>
      <c r="C65" s="11">
        <v>46084</v>
      </c>
      <c r="D65" s="13" t="str">
        <f>_xlfn.XLOOKUP([1]!Table134526_79101120212223242526[[#This Row],[Name Surname]],[1]Manpower!$C$4:$C$1048576,[1]Manpower!$B$4:$B$1048576,"")</f>
        <v>Encogroup</v>
      </c>
      <c r="E65" s="11" t="s">
        <v>22</v>
      </c>
      <c r="F65" s="12">
        <f>_xlfn.XLOOKUP([1]!Table134526_79101120212223242526[[#This Row],[Name Surname]],[1]Manpower!C:C,[1]Manpower!D:D,)</f>
        <v>141365037</v>
      </c>
      <c r="G65" s="13" t="str">
        <f>_xlfn.XLOOKUP([1]!Table134526_79101120212223242526[[#This Row],[Name Surname]],[1]Manpower!$C$4:$C$1048576,[1]Manpower!$F$4:$F$1048576,"")</f>
        <v>Painter</v>
      </c>
      <c r="H65" s="13" t="str">
        <f>_xlfn.XLOOKUP([1]!Table134526_79101120212223242526[[#This Row],[Name Surname]],[1]Manpower!$C$4:$C$1048576,[1]Manpower!$H$4:$H$1048576,"")</f>
        <v>Manpower</v>
      </c>
      <c r="I65" s="11" t="str">
        <f>_xlfn.XLOOKUP([1]!Table134526_79101120212223242526[[#This Row],[Name Surname]],[1]Manpower!$C$4:$C$1048576,[1]Manpower!$H$4:$H$1048576,"")</f>
        <v>Manpower</v>
      </c>
      <c r="J65" s="13" t="s">
        <v>23</v>
      </c>
      <c r="K65" s="13" t="s">
        <v>24</v>
      </c>
      <c r="L65" s="13" t="s">
        <v>25</v>
      </c>
      <c r="M65" s="13" t="s">
        <v>18</v>
      </c>
      <c r="N65" s="14">
        <v>10</v>
      </c>
      <c r="O65" s="13"/>
      <c r="P65" s="13"/>
      <c r="Q65" s="13"/>
      <c r="R65" s="13" t="s">
        <v>60</v>
      </c>
      <c r="S65" s="15"/>
    </row>
    <row r="66" spans="1:19" x14ac:dyDescent="0.3">
      <c r="A66" s="1" t="e">
        <f>IF(C66="","",MAX($A$2:A65)+1)</f>
        <v>#REF!</v>
      </c>
      <c r="B66" s="16" t="s">
        <v>21</v>
      </c>
      <c r="C66" s="3">
        <v>46084</v>
      </c>
      <c r="D66" s="5" t="str">
        <f>_xlfn.XLOOKUP([1]!Table134526_79101120212223242526[[#This Row],[Name Surname]],[1]Manpower!$C$4:$C$1048576,[1]Manpower!$B$4:$B$1048576,"")</f>
        <v>Encogroup</v>
      </c>
      <c r="E66" s="3" t="s">
        <v>28</v>
      </c>
      <c r="F66" s="4">
        <f>_xlfn.XLOOKUP([1]!Table134526_79101120212223242526[[#This Row],[Name Surname]],[1]Manpower!C:C,[1]Manpower!D:D,)</f>
        <v>141377709</v>
      </c>
      <c r="G66" s="5" t="str">
        <f>_xlfn.XLOOKUP([1]!Table134526_79101120212223242526[[#This Row],[Name Surname]],[1]Manpower!$C$4:$C$1048576,[1]Manpower!$F$4:$F$1048576,"")</f>
        <v>Helper</v>
      </c>
      <c r="H66" s="5" t="str">
        <f>_xlfn.XLOOKUP([1]!Table134526_79101120212223242526[[#This Row],[Name Surname]],[1]Manpower!$C$4:$C$1048576,[1]Manpower!$H$4:$H$1048576,"")</f>
        <v>Manpower</v>
      </c>
      <c r="I66" s="3" t="str">
        <f>_xlfn.XLOOKUP([1]!Table134526_79101120212223242526[[#This Row],[Name Surname]],[1]Manpower!$C$4:$C$1048576,[1]Manpower!$H$4:$H$1048576,"")</f>
        <v>Manpower</v>
      </c>
      <c r="J66" s="5" t="s">
        <v>23</v>
      </c>
      <c r="K66" s="5" t="s">
        <v>62</v>
      </c>
      <c r="L66" s="5" t="s">
        <v>25</v>
      </c>
      <c r="M66" s="5" t="s">
        <v>18</v>
      </c>
      <c r="N66" s="6">
        <v>10</v>
      </c>
      <c r="O66" s="5"/>
      <c r="P66" s="5"/>
      <c r="Q66" s="5"/>
      <c r="R66" s="5" t="s">
        <v>60</v>
      </c>
      <c r="S66" s="8"/>
    </row>
    <row r="67" spans="1:19" x14ac:dyDescent="0.3">
      <c r="A67" s="9" t="e">
        <f>IF(C67="","",MAX($A$2:A66)+1)</f>
        <v>#REF!</v>
      </c>
      <c r="B67" s="16" t="s">
        <v>21</v>
      </c>
      <c r="C67" s="11">
        <v>46084</v>
      </c>
      <c r="D67" s="13" t="str">
        <f>_xlfn.XLOOKUP([1]!Table134526_79101120212223242526[[#This Row],[Name Surname]],[1]Manpower!$C$4:$C$1048576,[1]Manpower!$B$4:$B$1048576,"")</f>
        <v>Encogroup</v>
      </c>
      <c r="E67" s="11" t="s">
        <v>31</v>
      </c>
      <c r="F67" s="12">
        <f>_xlfn.XLOOKUP([1]!Table134526_79101120212223242526[[#This Row],[Name Surname]],[1]Manpower!C:C,[1]Manpower!D:D,)</f>
        <v>140805554</v>
      </c>
      <c r="G67" s="13" t="str">
        <f>_xlfn.XLOOKUP([1]!Table134526_79101120212223242526[[#This Row],[Name Surname]],[1]Manpower!$C$4:$C$1048576,[1]Manpower!$F$4:$F$1048576,"")</f>
        <v>Assistant/Helper</v>
      </c>
      <c r="H67" s="13" t="str">
        <f>_xlfn.XLOOKUP([1]!Table134526_79101120212223242526[[#This Row],[Name Surname]],[1]Manpower!$C$4:$C$1048576,[1]Manpower!$H$4:$H$1048576,"")</f>
        <v>Manpower</v>
      </c>
      <c r="I67" s="11" t="str">
        <f>_xlfn.XLOOKUP([1]!Table134526_79101120212223242526[[#This Row],[Name Surname]],[1]Manpower!$C$4:$C$1048576,[1]Manpower!$H$4:$H$1048576,"")</f>
        <v>Manpower</v>
      </c>
      <c r="J67" s="13" t="s">
        <v>23</v>
      </c>
      <c r="K67" s="13" t="s">
        <v>24</v>
      </c>
      <c r="L67" s="13" t="s">
        <v>25</v>
      </c>
      <c r="M67" s="13" t="s">
        <v>18</v>
      </c>
      <c r="N67" s="14">
        <v>10</v>
      </c>
      <c r="O67" s="13"/>
      <c r="P67" s="13"/>
      <c r="Q67" s="13"/>
      <c r="R67" s="13" t="s">
        <v>60</v>
      </c>
      <c r="S67" s="15"/>
    </row>
    <row r="68" spans="1:19" x14ac:dyDescent="0.3">
      <c r="A68" s="1" t="e">
        <f>IF(C68="","",MAX($A$2:A67)+1)</f>
        <v>#REF!</v>
      </c>
      <c r="B68" s="16" t="s">
        <v>21</v>
      </c>
      <c r="C68" s="3">
        <v>46084</v>
      </c>
      <c r="D68" s="5" t="str">
        <f>_xlfn.XLOOKUP([1]!Table134526_79101120212223242526[[#This Row],[Name Surname]],[1]Manpower!$C$4:$C$1048576,[1]Manpower!$B$4:$B$1048576,"")</f>
        <v>Encogroup</v>
      </c>
      <c r="E68" s="3" t="s">
        <v>34</v>
      </c>
      <c r="F68" s="4">
        <f>_xlfn.XLOOKUP([1]!Table134526_79101120212223242526[[#This Row],[Name Surname]],[1]Manpower!C:C,[1]Manpower!D:D,)</f>
        <v>141169033</v>
      </c>
      <c r="G68" s="5" t="str">
        <f>_xlfn.XLOOKUP([1]!Table134526_79101120212223242526[[#This Row],[Name Surname]],[1]Manpower!$C$4:$C$1048576,[1]Manpower!$F$4:$F$1048576,"")</f>
        <v>Welder</v>
      </c>
      <c r="H68" s="5" t="str">
        <f>_xlfn.XLOOKUP([1]!Table134526_79101120212223242526[[#This Row],[Name Surname]],[1]Manpower!$C$4:$C$1048576,[1]Manpower!$H$4:$H$1048576,"")</f>
        <v>Manpower</v>
      </c>
      <c r="I68" s="3" t="str">
        <f>_xlfn.XLOOKUP([1]!Table134526_79101120212223242526[[#This Row],[Name Surname]],[1]Manpower!$C$4:$C$1048576,[1]Manpower!$H$4:$H$1048576,"")</f>
        <v>Manpower</v>
      </c>
      <c r="J68" s="5" t="s">
        <v>23</v>
      </c>
      <c r="K68" s="5" t="s">
        <v>24</v>
      </c>
      <c r="L68" s="5" t="s">
        <v>25</v>
      </c>
      <c r="M68" s="5" t="s">
        <v>18</v>
      </c>
      <c r="N68" s="6">
        <v>10</v>
      </c>
      <c r="O68" s="5"/>
      <c r="P68" s="5"/>
      <c r="Q68" s="5"/>
      <c r="R68" s="5" t="s">
        <v>60</v>
      </c>
      <c r="S68" s="8"/>
    </row>
    <row r="69" spans="1:19" x14ac:dyDescent="0.3">
      <c r="A69" s="9" t="e">
        <f>IF(C69="","",MAX($A$2:A68)+1)</f>
        <v>#REF!</v>
      </c>
      <c r="B69" s="17" t="s">
        <v>36</v>
      </c>
      <c r="C69" s="11">
        <v>46084</v>
      </c>
      <c r="D69" s="13" t="str">
        <f>_xlfn.XLOOKUP([1]!Table134526_79101120212223242526[[#This Row],[Name Surname]],[1]Manpower!$C$4:$C$1048576,[1]Manpower!$B$4:$B$1048576,"")</f>
        <v>Encogroup</v>
      </c>
      <c r="E69" s="11" t="s">
        <v>37</v>
      </c>
      <c r="F69" s="12">
        <f>_xlfn.XLOOKUP([1]!Table134526_79101120212223242526[[#This Row],[Name Surname]],[1]Manpower!C:C,[1]Manpower!D:D,)</f>
        <v>141169028</v>
      </c>
      <c r="G69" s="13" t="str">
        <f>_xlfn.XLOOKUP([1]!Table134526_79101120212223242526[[#This Row],[Name Surname]],[1]Manpower!$C$4:$C$1048576,[1]Manpower!$F$4:$F$1048576,"")</f>
        <v>Welder</v>
      </c>
      <c r="H69" s="13" t="str">
        <f>_xlfn.XLOOKUP([1]!Table134526_79101120212223242526[[#This Row],[Name Surname]],[1]Manpower!$C$4:$C$1048576,[1]Manpower!$H$4:$H$1048576,"")</f>
        <v>Manpower</v>
      </c>
      <c r="I69" s="11" t="str">
        <f>_xlfn.XLOOKUP([1]!Table134526_79101120212223242526[[#This Row],[Name Surname]],[1]Manpower!$C$4:$C$1048576,[1]Manpower!$H$4:$H$1048576,"")</f>
        <v>Manpower</v>
      </c>
      <c r="J69" s="13" t="s">
        <v>38</v>
      </c>
      <c r="K69" s="13" t="s">
        <v>7</v>
      </c>
      <c r="L69" s="13" t="s">
        <v>39</v>
      </c>
      <c r="M69" s="13" t="s">
        <v>18</v>
      </c>
      <c r="N69" s="14">
        <v>10</v>
      </c>
      <c r="O69" s="13"/>
      <c r="P69" s="13"/>
      <c r="Q69" s="13"/>
      <c r="R69" s="13" t="s">
        <v>60</v>
      </c>
      <c r="S69" s="15"/>
    </row>
    <row r="70" spans="1:19" x14ac:dyDescent="0.3">
      <c r="A70" s="1" t="e">
        <f>IF(C70="","",MAX($A$2:A69)+1)</f>
        <v>#REF!</v>
      </c>
      <c r="B70" s="17" t="s">
        <v>36</v>
      </c>
      <c r="C70" s="3">
        <v>46084</v>
      </c>
      <c r="D70" s="5" t="str">
        <f>_xlfn.XLOOKUP([1]!Table134526_79101120212223242526[[#This Row],[Name Surname]],[1]Manpower!$C$4:$C$1048576,[1]Manpower!$B$4:$B$1048576,"")</f>
        <v>Encogroup</v>
      </c>
      <c r="E70" s="3" t="s">
        <v>40</v>
      </c>
      <c r="F70" s="4">
        <f>_xlfn.XLOOKUP([1]!Table134526_79101120212223242526[[#This Row],[Name Surname]],[1]Manpower!C:C,[1]Manpower!D:D,)</f>
        <v>140805568</v>
      </c>
      <c r="G70" s="5" t="str">
        <f>_xlfn.XLOOKUP([1]!Table134526_79101120212223242526[[#This Row],[Name Surname]],[1]Manpower!$C$4:$C$1048576,[1]Manpower!$F$4:$F$1048576,"")</f>
        <v>Assistant/Helper</v>
      </c>
      <c r="H70" s="5" t="str">
        <f>_xlfn.XLOOKUP([1]!Table134526_79101120212223242526[[#This Row],[Name Surname]],[1]Manpower!$C$4:$C$1048576,[1]Manpower!$H$4:$H$1048576,"")</f>
        <v>Manpower</v>
      </c>
      <c r="I70" s="3" t="str">
        <f>_xlfn.XLOOKUP([1]!Table134526_79101120212223242526[[#This Row],[Name Surname]],[1]Manpower!$C$4:$C$1048576,[1]Manpower!$H$4:$H$1048576,"")</f>
        <v>Manpower</v>
      </c>
      <c r="J70" s="5" t="s">
        <v>38</v>
      </c>
      <c r="K70" s="5" t="s">
        <v>7</v>
      </c>
      <c r="L70" s="5" t="s">
        <v>39</v>
      </c>
      <c r="M70" s="5" t="s">
        <v>18</v>
      </c>
      <c r="N70" s="6">
        <v>10</v>
      </c>
      <c r="O70" s="5"/>
      <c r="P70" s="5"/>
      <c r="Q70" s="5"/>
      <c r="R70" s="5" t="s">
        <v>60</v>
      </c>
      <c r="S70" s="8"/>
    </row>
    <row r="71" spans="1:19" x14ac:dyDescent="0.3">
      <c r="A71" s="9" t="e">
        <f>IF(C71="","",MAX($A$2:A69)+1)</f>
        <v>#REF!</v>
      </c>
      <c r="B71" s="17" t="s">
        <v>36</v>
      </c>
      <c r="C71" s="11">
        <v>46084</v>
      </c>
      <c r="D71" s="13" t="str">
        <f>_xlfn.XLOOKUP([1]!Table134526_79101120212223242526[[#This Row],[Name Surname]],[1]Manpower!$C$4:$C$1048576,[1]Manpower!$B$4:$B$1048576,"")</f>
        <v>AL Saif &amp; Al QALLM ENT LLC</v>
      </c>
      <c r="E71" s="11" t="s">
        <v>41</v>
      </c>
      <c r="F71" s="12">
        <f>_xlfn.XLOOKUP([1]!Table134526_79101120212223242526[[#This Row],[Name Surname]],[1]Manpower!C:C,[1]Manpower!D:D,)</f>
        <v>76647648</v>
      </c>
      <c r="G71" s="13" t="str">
        <f>_xlfn.XLOOKUP([1]!Table134526_79101120212223242526[[#This Row],[Name Surname]],[1]Manpower!$C$4:$C$1048576,[1]Manpower!$F$4:$F$1048576,"")</f>
        <v>RIgger</v>
      </c>
      <c r="H71" s="13" t="str">
        <f>_xlfn.XLOOKUP([1]!Table134526_79101120212223242526[[#This Row],[Name Surname]],[1]Manpower!$C$4:$C$1048576,[1]Manpower!$H$4:$H$1048576,"")</f>
        <v>Sub Contactor</v>
      </c>
      <c r="I71" s="11" t="str">
        <f>_xlfn.XLOOKUP([1]!Table134526_79101120212223242526[[#This Row],[Name Surname]],[1]Manpower!$C$4:$C$1048576,[1]Manpower!$H$4:$H$1048576,"")</f>
        <v>Sub Contactor</v>
      </c>
      <c r="J71" s="13" t="s">
        <v>38</v>
      </c>
      <c r="K71" s="13" t="s">
        <v>7</v>
      </c>
      <c r="L71" s="13" t="s">
        <v>39</v>
      </c>
      <c r="M71" s="13" t="s">
        <v>18</v>
      </c>
      <c r="N71" s="14">
        <v>10</v>
      </c>
      <c r="O71" s="13"/>
      <c r="P71" s="13"/>
      <c r="Q71" s="13"/>
      <c r="R71" s="13" t="s">
        <v>60</v>
      </c>
      <c r="S71" s="15"/>
    </row>
    <row r="72" spans="1:19" x14ac:dyDescent="0.3">
      <c r="A72" s="1" t="e">
        <f>IF(C72="","",MAX($A$2:A71)+1)</f>
        <v>#REF!</v>
      </c>
      <c r="B72" s="17" t="s">
        <v>36</v>
      </c>
      <c r="C72" s="3">
        <v>46084</v>
      </c>
      <c r="D72" s="5" t="str">
        <f>_xlfn.XLOOKUP([1]!Table134526_79101120212223242526[[#This Row],[Name Surname]],[1]Manpower!$C$4:$C$1048576,[1]Manpower!$B$4:$B$1048576,"")</f>
        <v>Rabwu Ahamal AL Khaleej Trad</v>
      </c>
      <c r="E72" s="3" t="s">
        <v>43</v>
      </c>
      <c r="F72" s="4">
        <f>_xlfn.XLOOKUP([1]!Table134526_79101120212223242526[[#This Row],[Name Surname]],[1]Manpower!C:C,[1]Manpower!D:D,)</f>
        <v>131431131</v>
      </c>
      <c r="G72" s="5" t="str">
        <f>_xlfn.XLOOKUP([1]!Table134526_79101120212223242526[[#This Row],[Name Surname]],[1]Manpower!$C$4:$C$1048576,[1]Manpower!$F$4:$F$1048576,"")</f>
        <v>RIgger</v>
      </c>
      <c r="H72" s="5" t="str">
        <f>_xlfn.XLOOKUP([1]!Table134526_79101120212223242526[[#This Row],[Name Surname]],[1]Manpower!$C$4:$C$1048576,[1]Manpower!$H$4:$H$1048576,"")</f>
        <v>Sub Contactor</v>
      </c>
      <c r="I72" s="3" t="str">
        <f>_xlfn.XLOOKUP([1]!Table134526_79101120212223242526[[#This Row],[Name Surname]],[1]Manpower!$C$4:$C$1048576,[1]Manpower!$H$4:$H$1048576,"")</f>
        <v>Sub Contactor</v>
      </c>
      <c r="J72" s="5" t="s">
        <v>38</v>
      </c>
      <c r="K72" s="5" t="s">
        <v>7</v>
      </c>
      <c r="L72" s="5" t="s">
        <v>39</v>
      </c>
      <c r="M72" s="5" t="s">
        <v>18</v>
      </c>
      <c r="N72" s="6">
        <v>10</v>
      </c>
      <c r="O72" s="5"/>
      <c r="P72" s="5"/>
      <c r="Q72" s="5"/>
      <c r="R72" s="5" t="s">
        <v>60</v>
      </c>
      <c r="S72" s="8"/>
    </row>
    <row r="73" spans="1:19" x14ac:dyDescent="0.3">
      <c r="A73" s="9" t="e">
        <f>IF(C73="","",MAX($A$2:A72)+1)</f>
        <v>#REF!</v>
      </c>
      <c r="B73" s="17" t="s">
        <v>36</v>
      </c>
      <c r="C73" s="11">
        <v>46084</v>
      </c>
      <c r="D73" s="13" t="str">
        <f>_xlfn.XLOOKUP([1]!Table134526_79101120212223242526[[#This Row],[Name Surname]],[1]Manpower!$C$4:$C$1048576,[1]Manpower!$B$4:$B$1048576,"")</f>
        <v>AL Saif &amp; Al QALLM ENT LLC</v>
      </c>
      <c r="E73" s="11" t="s">
        <v>45</v>
      </c>
      <c r="F73" s="12">
        <f>_xlfn.XLOOKUP([1]!Table134526_79101120212223242526[[#This Row],[Name Surname]],[1]Manpower!C:C,[1]Manpower!D:D,)</f>
        <v>135762195</v>
      </c>
      <c r="G73" s="13" t="str">
        <f>_xlfn.XLOOKUP([1]!Table134526_79101120212223242526[[#This Row],[Name Surname]],[1]Manpower!$C$4:$C$1048576,[1]Manpower!$F$4:$F$1048576,"")</f>
        <v>HSE Officer</v>
      </c>
      <c r="H73" s="13" t="str">
        <f>_xlfn.XLOOKUP([1]!Table134526_79101120212223242526[[#This Row],[Name Surname]],[1]Manpower!$C$4:$C$1048576,[1]Manpower!$H$4:$H$1048576,"")</f>
        <v>Sub Contactor</v>
      </c>
      <c r="I73" s="11" t="str">
        <f>_xlfn.XLOOKUP([1]!Table134526_79101120212223242526[[#This Row],[Name Surname]],[1]Manpower!$C$4:$C$1048576,[1]Manpower!$H$4:$H$1048576,"")</f>
        <v>Sub Contactor</v>
      </c>
      <c r="J73" s="13" t="s">
        <v>38</v>
      </c>
      <c r="K73" s="13" t="s">
        <v>7</v>
      </c>
      <c r="L73" s="13" t="s">
        <v>39</v>
      </c>
      <c r="M73" s="13" t="s">
        <v>18</v>
      </c>
      <c r="N73" s="14">
        <v>10</v>
      </c>
      <c r="O73" s="13"/>
      <c r="P73" s="13"/>
      <c r="Q73" s="13"/>
      <c r="R73" s="13" t="s">
        <v>60</v>
      </c>
      <c r="S73" s="15"/>
    </row>
    <row r="74" spans="1:19" x14ac:dyDescent="0.3">
      <c r="A74" s="1" t="e">
        <f>IF(C74="","",MAX($A$2:A73)+1)</f>
        <v>#REF!</v>
      </c>
      <c r="B74" s="17" t="s">
        <v>36</v>
      </c>
      <c r="C74" s="3">
        <v>46084</v>
      </c>
      <c r="D74" s="5" t="str">
        <f>_xlfn.XLOOKUP([1]!Table134526_79101120212223242526[[#This Row],[Name Surname]],[1]Manpower!$C$4:$C$1048576,[1]Manpower!$B$4:$B$1048576,"")</f>
        <v>Encogroup</v>
      </c>
      <c r="E74" s="3" t="s">
        <v>46</v>
      </c>
      <c r="F74" s="4">
        <f>_xlfn.XLOOKUP([1]!Table134526_79101120212223242526[[#This Row],[Name Surname]],[1]Manpower!C:C,[1]Manpower!D:D,)</f>
        <v>140846684</v>
      </c>
      <c r="G74" s="5" t="str">
        <f>_xlfn.XLOOKUP([1]!Table134526_79101120212223242526[[#This Row],[Name Surname]],[1]Manpower!$C$4:$C$1048576,[1]Manpower!$F$4:$F$1048576,"")</f>
        <v>Assistant/Helper</v>
      </c>
      <c r="H74" s="5" t="str">
        <f>_xlfn.XLOOKUP([1]!Table134526_79101120212223242526[[#This Row],[Name Surname]],[1]Manpower!$C$4:$C$1048576,[1]Manpower!$H$4:$H$1048576,"")</f>
        <v>Manpower</v>
      </c>
      <c r="I74" s="3" t="str">
        <f>_xlfn.XLOOKUP([1]!Table134526_79101120212223242526[[#This Row],[Name Surname]],[1]Manpower!$C$4:$C$1048576,[1]Manpower!$H$4:$H$1048576,"")</f>
        <v>Manpower</v>
      </c>
      <c r="J74" s="5" t="s">
        <v>38</v>
      </c>
      <c r="K74" s="5" t="s">
        <v>7</v>
      </c>
      <c r="L74" s="5" t="s">
        <v>39</v>
      </c>
      <c r="M74" s="5" t="s">
        <v>18</v>
      </c>
      <c r="N74" s="6">
        <v>10</v>
      </c>
      <c r="O74" s="5"/>
      <c r="P74" s="5"/>
      <c r="Q74" s="5"/>
      <c r="R74" s="5" t="s">
        <v>60</v>
      </c>
      <c r="S74" s="8"/>
    </row>
    <row r="75" spans="1:19" x14ac:dyDescent="0.3">
      <c r="A75" s="9" t="e">
        <f>IF(C75="","",MAX($A$2:A74)+1)</f>
        <v>#REF!</v>
      </c>
      <c r="B75" s="17" t="s">
        <v>36</v>
      </c>
      <c r="C75" s="11">
        <v>46084</v>
      </c>
      <c r="D75" s="13" t="str">
        <f>_xlfn.XLOOKUP([1]!Table134526_79101120212223242526[[#This Row],[Name Surname]],[1]Manpower!$C$4:$C$1048576,[1]Manpower!$B$4:$B$1048576,"")</f>
        <v>Encogroup</v>
      </c>
      <c r="E75" s="11" t="s">
        <v>48</v>
      </c>
      <c r="F75" s="12">
        <f>_xlfn.XLOOKUP([1]!Table134526_79101120212223242526[[#This Row],[Name Surname]],[1]Manpower!C:C,[1]Manpower!D:D,)</f>
        <v>18114443</v>
      </c>
      <c r="G75" s="13" t="str">
        <f>_xlfn.XLOOKUP([1]!Table134526_79101120212223242526[[#This Row],[Name Surname]],[1]Manpower!$C$4:$C$1048576,[1]Manpower!$F$4:$F$1048576,"")</f>
        <v>Driver</v>
      </c>
      <c r="H75" s="13" t="str">
        <f>_xlfn.XLOOKUP([1]!Table134526_79101120212223242526[[#This Row],[Name Surname]],[1]Manpower!$C$4:$C$1048576,[1]Manpower!$H$4:$H$1048576,"")</f>
        <v>Manpower</v>
      </c>
      <c r="I75" s="11" t="str">
        <f>_xlfn.XLOOKUP([1]!Table134526_79101120212223242526[[#This Row],[Name Surname]],[1]Manpower!$C$4:$C$1048576,[1]Manpower!$H$4:$H$1048576,"")</f>
        <v>Manpower</v>
      </c>
      <c r="J75" s="13" t="s">
        <v>38</v>
      </c>
      <c r="K75" s="13" t="s">
        <v>7</v>
      </c>
      <c r="L75" s="13" t="s">
        <v>39</v>
      </c>
      <c r="M75" s="13" t="s">
        <v>18</v>
      </c>
      <c r="N75" s="14">
        <v>10</v>
      </c>
      <c r="O75" s="13"/>
      <c r="P75" s="13"/>
      <c r="Q75" s="13"/>
      <c r="R75" s="13" t="s">
        <v>60</v>
      </c>
      <c r="S75" s="15"/>
    </row>
    <row r="76" spans="1:19" x14ac:dyDescent="0.3">
      <c r="A76" s="1" t="e">
        <f>IF(C76="","",MAX($A$2:A75)+1)</f>
        <v>#REF!</v>
      </c>
      <c r="B76" s="17" t="s">
        <v>36</v>
      </c>
      <c r="C76" s="3">
        <v>46084</v>
      </c>
      <c r="D76" s="5" t="str">
        <f>_xlfn.XLOOKUP([1]!Table134526_79101120212223242526[[#This Row],[Name Surname]],[1]Manpower!$C$4:$C$1048576,[1]Manpower!$B$4:$B$1048576,"")</f>
        <v>Encogroup</v>
      </c>
      <c r="E76" s="3" t="s">
        <v>49</v>
      </c>
      <c r="F76" s="4">
        <f>_xlfn.XLOOKUP([1]!Table134526_79101120212223242526[[#This Row],[Name Surname]],[1]Manpower!C:C,[1]Manpower!D:D,)</f>
        <v>141250908</v>
      </c>
      <c r="G76" s="5" t="str">
        <f>_xlfn.XLOOKUP([1]!Table134526_79101120212223242526[[#This Row],[Name Surname]],[1]Manpower!$C$4:$C$1048576,[1]Manpower!$F$4:$F$1048576,"")</f>
        <v>Mechanical Engineer</v>
      </c>
      <c r="H76" s="5" t="str">
        <f>_xlfn.XLOOKUP([1]!Table134526_79101120212223242526[[#This Row],[Name Surname]],[1]Manpower!$C$4:$C$1048576,[1]Manpower!$H$4:$H$1048576,"")</f>
        <v>Manpower</v>
      </c>
      <c r="I76" s="3" t="str">
        <f>_xlfn.XLOOKUP([1]!Table134526_79101120212223242526[[#This Row],[Name Surname]],[1]Manpower!$C$4:$C$1048576,[1]Manpower!$H$4:$H$1048576,"")</f>
        <v>Manpower</v>
      </c>
      <c r="J76" s="5" t="s">
        <v>38</v>
      </c>
      <c r="K76" s="5" t="s">
        <v>7</v>
      </c>
      <c r="L76" s="5" t="s">
        <v>39</v>
      </c>
      <c r="M76" s="5" t="s">
        <v>18</v>
      </c>
      <c r="N76" s="6">
        <v>10</v>
      </c>
      <c r="O76" s="5"/>
      <c r="P76" s="5"/>
      <c r="Q76" s="5"/>
      <c r="R76" s="5" t="s">
        <v>60</v>
      </c>
      <c r="S76" s="8"/>
    </row>
    <row r="77" spans="1:19" x14ac:dyDescent="0.3">
      <c r="A77" s="9" t="e">
        <f>IF(C77="","",MAX($A$2:A76)+1)</f>
        <v>#REF!</v>
      </c>
      <c r="B77" s="17" t="s">
        <v>36</v>
      </c>
      <c r="C77" s="11">
        <v>46084</v>
      </c>
      <c r="D77" s="13" t="str">
        <f>_xlfn.XLOOKUP([1]!Table134526_79101120212223242526[[#This Row],[Name Surname]],[1]Manpower!$C$4:$C$1048576,[1]Manpower!$B$4:$B$1048576,"")</f>
        <v>Encogroup</v>
      </c>
      <c r="E77" s="11" t="s">
        <v>50</v>
      </c>
      <c r="F77" s="12" t="e">
        <f>_xlfn.XLOOKUP([1]!Table134526_79101120212223242526[[#This Row],[Name Surname]],[1]Manpower!C:C,[1]Manpower!D:D,)</f>
        <v>#N/A</v>
      </c>
      <c r="G77" s="13" t="str">
        <f>_xlfn.XLOOKUP([1]!Table134526_79101120212223242526[[#This Row],[Name Surname]],[1]Manpower!$C$4:$C$1048576,[1]Manpower!$F$4:$F$1048576,"")</f>
        <v>55 Seat Bus</v>
      </c>
      <c r="H77" s="13" t="str">
        <f>_xlfn.XLOOKUP([1]!Table134526_79101120212223242526[[#This Row],[Name Surname]],[1]Manpower!$C$4:$C$1048576,[1]Manpower!$H$4:$H$1048576,"")</f>
        <v>Equipment</v>
      </c>
      <c r="I77" s="11" t="str">
        <f>_xlfn.XLOOKUP([1]!Table134526_79101120212223242526[[#This Row],[Name Surname]],[1]Manpower!$C$4:$C$1048576,[1]Manpower!$H$4:$H$1048576,"")</f>
        <v>Equipment</v>
      </c>
      <c r="J77" s="13" t="s">
        <v>63</v>
      </c>
      <c r="K77" s="13" t="s">
        <v>7</v>
      </c>
      <c r="L77" s="13" t="s">
        <v>7</v>
      </c>
      <c r="M77" s="13" t="s">
        <v>5</v>
      </c>
      <c r="N77" s="14">
        <v>10</v>
      </c>
      <c r="O77" s="13"/>
      <c r="P77" s="13"/>
      <c r="Q77" s="13"/>
      <c r="R77" s="13" t="s">
        <v>60</v>
      </c>
      <c r="S77" s="15"/>
    </row>
    <row r="78" spans="1:19" x14ac:dyDescent="0.3">
      <c r="A78" s="1" t="e">
        <f>IF(C78="","",MAX($A$2:A77)+1)</f>
        <v>#REF!</v>
      </c>
      <c r="B78" s="17" t="s">
        <v>36</v>
      </c>
      <c r="C78" s="3">
        <v>46084</v>
      </c>
      <c r="D78" s="5" t="str">
        <f>_xlfn.XLOOKUP([1]!Table134526_79101120212223242526[[#This Row],[Name Surname]],[1]Manpower!$C$4:$C$1048576,[1]Manpower!$B$4:$B$1048576,"")</f>
        <v>Encogroup</v>
      </c>
      <c r="E78" s="3" t="s">
        <v>51</v>
      </c>
      <c r="F78" s="4" t="e">
        <f>_xlfn.XLOOKUP([1]!Table134526_79101120212223242526[[#This Row],[Name Surname]],[1]Manpower!C:C,[1]Manpower!D:D,)</f>
        <v>#N/A</v>
      </c>
      <c r="G78" s="5" t="str">
        <f>_xlfn.XLOOKUP([1]!Table134526_79101120212223242526[[#This Row],[Name Surname]],[1]Manpower!$C$4:$C$1048576,[1]Manpower!$F$4:$F$1048576,"")</f>
        <v>TOWER LIGHT</v>
      </c>
      <c r="H78" s="5" t="str">
        <f>_xlfn.XLOOKUP([1]!Table134526_79101120212223242526[[#This Row],[Name Surname]],[1]Manpower!$C$4:$C$1048576,[1]Manpower!$H$4:$H$1048576,"")</f>
        <v>Equipment</v>
      </c>
      <c r="I78" s="3" t="str">
        <f>_xlfn.XLOOKUP([1]!Table134526_79101120212223242526[[#This Row],[Name Surname]],[1]Manpower!$C$4:$C$1048576,[1]Manpower!$H$4:$H$1048576,"")</f>
        <v>Equipment</v>
      </c>
      <c r="J78" s="5" t="s">
        <v>38</v>
      </c>
      <c r="K78" s="5" t="s">
        <v>7</v>
      </c>
      <c r="L78" s="5" t="s">
        <v>39</v>
      </c>
      <c r="M78" s="5" t="s">
        <v>18</v>
      </c>
      <c r="N78" s="6">
        <v>10</v>
      </c>
      <c r="O78" s="5"/>
      <c r="P78" s="5"/>
      <c r="Q78" s="5"/>
      <c r="R78" s="5" t="s">
        <v>60</v>
      </c>
      <c r="S78" s="8"/>
    </row>
    <row r="79" spans="1:19" x14ac:dyDescent="0.3">
      <c r="A79" s="9" t="e">
        <f>IF(C79="","",MAX($A$2:A78)+1)</f>
        <v>#REF!</v>
      </c>
      <c r="B79" s="17" t="s">
        <v>36</v>
      </c>
      <c r="C79" s="11">
        <v>46084</v>
      </c>
      <c r="D79" s="13" t="str">
        <f>_xlfn.XLOOKUP([1]!Table134526_79101120212223242526[[#This Row],[Name Surname]],[1]Manpower!$C$4:$C$1048576,[1]Manpower!$B$4:$B$1048576,"")</f>
        <v>Encogroup</v>
      </c>
      <c r="E79" s="11" t="s">
        <v>53</v>
      </c>
      <c r="F79" s="12" t="e">
        <f>_xlfn.XLOOKUP([1]!Table134526_79101120212223242526[[#This Row],[Name Surname]],[1]Manpower!C:C,[1]Manpower!D:D,)</f>
        <v>#N/A</v>
      </c>
      <c r="G79" s="13" t="str">
        <f>_xlfn.XLOOKUP([1]!Table134526_79101120212223242526[[#This Row],[Name Surname]],[1]Manpower!$C$4:$C$1048576,[1]Manpower!$F$4:$F$1048576,"")</f>
        <v>13 Seat Bus</v>
      </c>
      <c r="H79" s="13" t="str">
        <f>_xlfn.XLOOKUP([1]!Table134526_79101120212223242526[[#This Row],[Name Surname]],[1]Manpower!$C$4:$C$1048576,[1]Manpower!$H$4:$H$1048576,"")</f>
        <v>Equipment</v>
      </c>
      <c r="I79" s="11" t="str">
        <f>_xlfn.XLOOKUP([1]!Table134526_79101120212223242526[[#This Row],[Name Surname]],[1]Manpower!$C$4:$C$1048576,[1]Manpower!$H$4:$H$1048576,"")</f>
        <v>Equipment</v>
      </c>
      <c r="J79" s="13" t="s">
        <v>38</v>
      </c>
      <c r="K79" s="13" t="s">
        <v>7</v>
      </c>
      <c r="L79" s="13" t="s">
        <v>39</v>
      </c>
      <c r="M79" s="13" t="s">
        <v>18</v>
      </c>
      <c r="N79" s="14">
        <v>10</v>
      </c>
      <c r="O79" s="13"/>
      <c r="P79" s="13"/>
      <c r="Q79" s="13"/>
      <c r="R79" s="13" t="s">
        <v>60</v>
      </c>
      <c r="S79" s="15"/>
    </row>
    <row r="80" spans="1:19" x14ac:dyDescent="0.3">
      <c r="A80" s="1" t="e">
        <f>IF(C80="","",MAX($A$2:A79)+1)</f>
        <v>#REF!</v>
      </c>
      <c r="B80" s="17" t="s">
        <v>36</v>
      </c>
      <c r="C80" s="3">
        <v>46084</v>
      </c>
      <c r="D80" s="5" t="str">
        <f>_xlfn.XLOOKUP([1]!Table134526_79101120212223242526[[#This Row],[Name Surname]],[1]Manpower!$C$4:$C$1048576,[1]Manpower!$B$4:$B$1048576,"")</f>
        <v>Encogroup</v>
      </c>
      <c r="E80" s="3" t="s">
        <v>54</v>
      </c>
      <c r="F80" s="4" t="e">
        <f>_xlfn.XLOOKUP([1]!Table134526_79101120212223242526[[#This Row],[Name Surname]],[1]Manpower!C:C,[1]Manpower!D:D,)</f>
        <v>#N/A</v>
      </c>
      <c r="G80" s="5" t="str">
        <f>_xlfn.XLOOKUP([1]!Table134526_79101120212223242526[[#This Row],[Name Surname]],[1]Manpower!$C$4:$C$1048576,[1]Manpower!$F$4:$F$1048576,"")</f>
        <v>15 Seat Bus</v>
      </c>
      <c r="H80" s="5" t="str">
        <f>_xlfn.XLOOKUP([1]!Table134526_79101120212223242526[[#This Row],[Name Surname]],[1]Manpower!$C$4:$C$1048576,[1]Manpower!$H$4:$H$1048576,"")</f>
        <v>Equipment</v>
      </c>
      <c r="I80" s="3" t="str">
        <f>_xlfn.XLOOKUP([1]!Table134526_79101120212223242526[[#This Row],[Name Surname]],[1]Manpower!$C$4:$C$1048576,[1]Manpower!$H$4:$H$1048576,"")</f>
        <v>Equipment</v>
      </c>
      <c r="J80" s="5" t="s">
        <v>38</v>
      </c>
      <c r="K80" s="5" t="s">
        <v>7</v>
      </c>
      <c r="L80" s="5" t="s">
        <v>39</v>
      </c>
      <c r="M80" s="5" t="s">
        <v>18</v>
      </c>
      <c r="N80" s="6">
        <v>10</v>
      </c>
      <c r="O80" s="5"/>
      <c r="P80" s="5"/>
      <c r="Q80" s="5"/>
      <c r="R80" s="5" t="s">
        <v>60</v>
      </c>
      <c r="S80" s="8"/>
    </row>
    <row r="81" spans="1:19" x14ac:dyDescent="0.3">
      <c r="A81" s="9" t="e">
        <f>IF(C81="","",MAX($A$2:A80)+1)</f>
        <v>#REF!</v>
      </c>
      <c r="B81" s="17" t="s">
        <v>36</v>
      </c>
      <c r="C81" s="11">
        <v>46084</v>
      </c>
      <c r="D81" s="13" t="str">
        <f>_xlfn.XLOOKUP([1]!Table134526_79101120212223242526[[#This Row],[Name Surname]],[1]Manpower!$C$4:$C$1048576,[1]Manpower!$B$4:$B$1048576,"")</f>
        <v>Nass Group</v>
      </c>
      <c r="E81" s="11" t="s">
        <v>55</v>
      </c>
      <c r="F81" s="12" t="e">
        <f>_xlfn.XLOOKUP([1]!Table134526_79101120212223242526[[#This Row],[Name Surname]],[1]Manpower!C:C,[1]Manpower!D:D,)</f>
        <v>#N/A</v>
      </c>
      <c r="G81" s="13" t="str">
        <f>_xlfn.XLOOKUP([1]!Table134526_79101120212223242526[[#This Row],[Name Surname]],[1]Manpower!$C$4:$C$1048576,[1]Manpower!$F$4:$F$1048576,"")</f>
        <v>130T Crawler Crane</v>
      </c>
      <c r="H81" s="13" t="str">
        <f>_xlfn.XLOOKUP([1]!Table134526_79101120212223242526[[#This Row],[Name Surname]],[1]Manpower!$C$4:$C$1048576,[1]Manpower!$H$4:$H$1048576,"")</f>
        <v>Equipment</v>
      </c>
      <c r="I81" s="11" t="str">
        <f>_xlfn.XLOOKUP([1]!Table134526_79101120212223242526[[#This Row],[Name Surname]],[1]Manpower!$C$4:$C$1048576,[1]Manpower!$H$4:$H$1048576,"")</f>
        <v>Equipment</v>
      </c>
      <c r="J81" s="13" t="s">
        <v>38</v>
      </c>
      <c r="K81" s="13" t="s">
        <v>7</v>
      </c>
      <c r="L81" s="13" t="s">
        <v>39</v>
      </c>
      <c r="M81" s="13" t="s">
        <v>18</v>
      </c>
      <c r="N81" s="14">
        <v>10</v>
      </c>
      <c r="O81" s="13"/>
      <c r="P81" s="13"/>
      <c r="Q81" s="13"/>
      <c r="R81" s="13" t="s">
        <v>60</v>
      </c>
      <c r="S81" s="15"/>
    </row>
    <row r="82" spans="1:19" x14ac:dyDescent="0.3">
      <c r="A82" s="1" t="e">
        <f>IF(C82="","",MAX($A$2:A81)+1)</f>
        <v>#REF!</v>
      </c>
      <c r="B82" s="17" t="s">
        <v>36</v>
      </c>
      <c r="C82" s="3">
        <v>46084</v>
      </c>
      <c r="D82" s="5" t="str">
        <f>_xlfn.XLOOKUP([1]!Table134526_79101120212223242526[[#This Row],[Name Surname]],[1]Manpower!$C$4:$C$1048576,[1]Manpower!$B$4:$B$1048576,"")</f>
        <v>Nass Group</v>
      </c>
      <c r="E82" s="3" t="s">
        <v>56</v>
      </c>
      <c r="F82" s="4" t="e">
        <f>_xlfn.XLOOKUP([1]!Table134526_79101120212223242526[[#This Row],[Name Surname]],[1]Manpower!C:C,[1]Manpower!D:D,)</f>
        <v>#N/A</v>
      </c>
      <c r="G82" s="5" t="str">
        <f>_xlfn.XLOOKUP([1]!Table134526_79101120212223242526[[#This Row],[Name Surname]],[1]Manpower!$C$4:$C$1048576,[1]Manpower!$F$4:$F$1048576,"")</f>
        <v>70T-Telescopic crane</v>
      </c>
      <c r="H82" s="5" t="str">
        <f>_xlfn.XLOOKUP([1]!Table134526_79101120212223242526[[#This Row],[Name Surname]],[1]Manpower!$C$4:$C$1048576,[1]Manpower!$H$4:$H$1048576,"")</f>
        <v>Equipment</v>
      </c>
      <c r="I82" s="3" t="str">
        <f>_xlfn.XLOOKUP([1]!Table134526_79101120212223242526[[#This Row],[Name Surname]],[1]Manpower!$C$4:$C$1048576,[1]Manpower!$H$4:$H$1048576,"")</f>
        <v>Equipment</v>
      </c>
      <c r="J82" s="5" t="s">
        <v>38</v>
      </c>
      <c r="K82" s="5" t="s">
        <v>7</v>
      </c>
      <c r="L82" s="5" t="s">
        <v>39</v>
      </c>
      <c r="M82" s="5" t="s">
        <v>18</v>
      </c>
      <c r="N82" s="6">
        <v>10</v>
      </c>
      <c r="O82" s="5"/>
      <c r="P82" s="5"/>
      <c r="Q82" s="5"/>
      <c r="R82" s="5" t="s">
        <v>60</v>
      </c>
      <c r="S82" s="8"/>
    </row>
    <row r="83" spans="1:19" x14ac:dyDescent="0.3">
      <c r="A83" s="9" t="e">
        <f>IF(C83="","",MAX($A$2:A82)+1)</f>
        <v>#REF!</v>
      </c>
      <c r="B83" s="17" t="s">
        <v>36</v>
      </c>
      <c r="C83" s="11">
        <v>46084</v>
      </c>
      <c r="D83" s="13" t="str">
        <f>_xlfn.XLOOKUP([1]!Table134526_79101120212223242526[[#This Row],[Name Surname]],[1]Manpower!$C$4:$C$1048576,[1]Manpower!$B$4:$B$1048576,"")</f>
        <v>Encogroup</v>
      </c>
      <c r="E83" s="11" t="s">
        <v>57</v>
      </c>
      <c r="F83" s="12" t="e">
        <f>_xlfn.XLOOKUP([1]!Table134526_79101120212223242526[[#This Row],[Name Surname]],[1]Manpower!C:C,[1]Manpower!D:D,)</f>
        <v>#N/A</v>
      </c>
      <c r="G83" s="13" t="str">
        <f>_xlfn.XLOOKUP([1]!Table134526_79101120212223242526[[#This Row],[Name Surname]],[1]Manpower!$C$4:$C$1048576,[1]Manpower!$F$4:$F$1048576,"")</f>
        <v>14T Fork lift</v>
      </c>
      <c r="H83" s="13" t="str">
        <f>_xlfn.XLOOKUP([1]!Table134526_79101120212223242526[[#This Row],[Name Surname]],[1]Manpower!$C$4:$C$1048576,[1]Manpower!$H$4:$H$1048576,"")</f>
        <v>Equipment</v>
      </c>
      <c r="I83" s="11" t="str">
        <f>_xlfn.XLOOKUP([1]!Table134526_79101120212223242526[[#This Row],[Name Surname]],[1]Manpower!$C$4:$C$1048576,[1]Manpower!$H$4:$H$1048576,"")</f>
        <v>Equipment</v>
      </c>
      <c r="J83" s="13" t="s">
        <v>38</v>
      </c>
      <c r="K83" s="13" t="s">
        <v>7</v>
      </c>
      <c r="L83" s="13" t="s">
        <v>39</v>
      </c>
      <c r="M83" s="13" t="s">
        <v>18</v>
      </c>
      <c r="N83" s="14">
        <v>10</v>
      </c>
      <c r="O83" s="13"/>
      <c r="P83" s="13"/>
      <c r="Q83" s="13"/>
      <c r="R83" s="13" t="s">
        <v>60</v>
      </c>
      <c r="S83" s="15"/>
    </row>
    <row r="84" spans="1:19" x14ac:dyDescent="0.3">
      <c r="A84" s="1" t="e">
        <f>IF(C84="","",MAX($A$2:A83)+1)</f>
        <v>#REF!</v>
      </c>
      <c r="B84" s="17" t="s">
        <v>36</v>
      </c>
      <c r="C84" s="3">
        <v>46084</v>
      </c>
      <c r="D84" s="5" t="str">
        <f>_xlfn.XLOOKUP([1]!Table134526_79101120212223242526[[#This Row],[Name Surname]],[1]Manpower!$C$4:$C$1048576,[1]Manpower!$B$4:$B$1048576,"")</f>
        <v>Al Jaber Heavy Lift</v>
      </c>
      <c r="E84" s="3" t="s">
        <v>58</v>
      </c>
      <c r="F84" s="4" t="e">
        <f>_xlfn.XLOOKUP([1]!Table134526_79101120212223242526[[#This Row],[Name Surname]],[1]Manpower!C:C,[1]Manpower!D:D,)</f>
        <v>#N/A</v>
      </c>
      <c r="G84" s="5" t="str">
        <f>_xlfn.XLOOKUP([1]!Table134526_79101120212223242526[[#This Row],[Name Surname]],[1]Manpower!$C$4:$C$1048576,[1]Manpower!$F$4:$F$1048576,"")</f>
        <v>150T-Crawler Crane</v>
      </c>
      <c r="H84" s="5" t="str">
        <f>_xlfn.XLOOKUP([1]!Table134526_79101120212223242526[[#This Row],[Name Surname]],[1]Manpower!$C$4:$C$1048576,[1]Manpower!$H$4:$H$1048576,"")</f>
        <v>Equipment</v>
      </c>
      <c r="I84" s="3" t="str">
        <f>_xlfn.XLOOKUP([1]!Table134526_79101120212223242526[[#This Row],[Name Surname]],[1]Manpower!$C$4:$C$1048576,[1]Manpower!$H$4:$H$1048576,"")</f>
        <v>Equipment</v>
      </c>
      <c r="J84" s="5" t="s">
        <v>38</v>
      </c>
      <c r="K84" s="5" t="s">
        <v>7</v>
      </c>
      <c r="L84" s="5" t="s">
        <v>39</v>
      </c>
      <c r="M84" s="5" t="s">
        <v>18</v>
      </c>
      <c r="N84" s="6">
        <v>10</v>
      </c>
      <c r="O84" s="5"/>
      <c r="P84" s="5"/>
      <c r="Q84" s="5"/>
      <c r="R84" s="5" t="s">
        <v>60</v>
      </c>
      <c r="S84" s="8"/>
    </row>
    <row r="85" spans="1:19" x14ac:dyDescent="0.3">
      <c r="A85" s="9" t="e">
        <f>IF(C85="","",MAX($A$2:A84)+1)</f>
        <v>#REF!</v>
      </c>
      <c r="B85" s="17" t="s">
        <v>36</v>
      </c>
      <c r="C85" s="11">
        <v>46084</v>
      </c>
      <c r="D85" s="13" t="str">
        <f>_xlfn.XLOOKUP([1]!Table134526_79101120212223242526[[#This Row],[Name Surname]],[1]Manpower!$C$4:$C$1048576,[1]Manpower!$B$4:$B$1048576,"")</f>
        <v>Encogroup</v>
      </c>
      <c r="E85" s="11" t="s">
        <v>59</v>
      </c>
      <c r="F85" s="12" t="e">
        <f>_xlfn.XLOOKUP([1]!Table134526_79101120212223242526[[#This Row],[Name Surname]],[1]Manpower!C:C,[1]Manpower!D:D,)</f>
        <v>#N/A</v>
      </c>
      <c r="G85" s="13" t="str">
        <f>_xlfn.XLOOKUP([1]!Table134526_79101120212223242526[[#This Row],[Name Surname]],[1]Manpower!$C$4:$C$1048576,[1]Manpower!$F$4:$F$1048576,"")</f>
        <v>22 Seat Bus</v>
      </c>
      <c r="H85" s="13" t="str">
        <f>_xlfn.XLOOKUP([1]!Table134526_79101120212223242526[[#This Row],[Name Surname]],[1]Manpower!$C$4:$C$1048576,[1]Manpower!$H$4:$H$1048576,"")</f>
        <v>Equipment</v>
      </c>
      <c r="I85" s="11" t="str">
        <f>_xlfn.XLOOKUP([1]!Table134526_79101120212223242526[[#This Row],[Name Surname]],[1]Manpower!$C$4:$C$1048576,[1]Manpower!$H$4:$H$1048576,"")</f>
        <v>Equipment</v>
      </c>
      <c r="J85" s="13" t="s">
        <v>38</v>
      </c>
      <c r="K85" s="13" t="s">
        <v>7</v>
      </c>
      <c r="L85" s="13" t="s">
        <v>39</v>
      </c>
      <c r="M85" s="13" t="s">
        <v>18</v>
      </c>
      <c r="N85" s="14">
        <v>10</v>
      </c>
      <c r="O85" s="13"/>
      <c r="P85" s="13"/>
      <c r="Q85" s="13"/>
      <c r="R85" s="13" t="s">
        <v>60</v>
      </c>
      <c r="S85" s="15"/>
    </row>
    <row r="86" spans="1:19" x14ac:dyDescent="0.3">
      <c r="A86" s="1" t="e">
        <f>IF(C86="","",MAX($A$2:A85)+1)</f>
        <v>#REF!</v>
      </c>
      <c r="B86" s="2" t="s">
        <v>0</v>
      </c>
      <c r="C86" s="3">
        <v>46085</v>
      </c>
      <c r="D86" s="5" t="str">
        <f>_xlfn.XLOOKUP([1]!Table134526_79101120212223242526[[#This Row],[Name Surname]],[1]Manpower!$C$4:$C$1048576,[1]Manpower!$B$4:$B$1048576,"")</f>
        <v>Encogroup</v>
      </c>
      <c r="E86" s="3" t="s">
        <v>1</v>
      </c>
      <c r="F86" s="4" t="e">
        <f>_xlfn.XLOOKUP([1]!Table134526_79101120212223242526[[#This Row],[Name Surname]],[1]Manpower!C:C,[1]Manpower!D:D,)</f>
        <v>#N/A</v>
      </c>
      <c r="G86" s="5" t="str">
        <f>_xlfn.XLOOKUP([1]!Table134526_79101120212223242526[[#This Row],[Name Surname]],[1]Manpower!$C$4:$C$1048576,[1]Manpower!$F$4:$F$1048576,"")</f>
        <v>22 Seat Bus</v>
      </c>
      <c r="H86" s="5" t="str">
        <f>_xlfn.XLOOKUP([1]!Table134526_79101120212223242526[[#This Row],[Name Surname]],[1]Manpower!$C$4:$C$1048576,[1]Manpower!$H$4:$H$1048576,"")</f>
        <v>Equipment</v>
      </c>
      <c r="I86" s="3" t="str">
        <f>_xlfn.XLOOKUP([1]!Table134526_79101120212223242526[[#This Row],[Name Surname]],[1]Manpower!$C$4:$C$1048576,[1]Manpower!$H$4:$H$1048576,"")</f>
        <v>Equipment</v>
      </c>
      <c r="J86" s="5"/>
      <c r="K86" s="5"/>
      <c r="L86" s="5"/>
      <c r="M86" s="5" t="s">
        <v>18</v>
      </c>
      <c r="N86" s="6">
        <v>10</v>
      </c>
      <c r="O86" s="5"/>
      <c r="P86" s="5"/>
      <c r="Q86" s="5"/>
      <c r="R86" s="5" t="s">
        <v>60</v>
      </c>
      <c r="S86" s="8"/>
    </row>
    <row r="87" spans="1:19" x14ac:dyDescent="0.3">
      <c r="A87" s="9" t="e">
        <f>IF(C87="","",MAX($A$2:A86)+1)</f>
        <v>#REF!</v>
      </c>
      <c r="B87" s="10" t="s">
        <v>0</v>
      </c>
      <c r="C87" s="11">
        <v>46085</v>
      </c>
      <c r="D87" s="13" t="str">
        <f>_xlfn.XLOOKUP([1]!Table134526_79101120212223242526[[#This Row],[Name Surname]],[1]Manpower!$C$4:$C$1048576,[1]Manpower!$B$4:$B$1048576,"")</f>
        <v>Encogroup</v>
      </c>
      <c r="E87" s="11" t="s">
        <v>61</v>
      </c>
      <c r="F87" s="12" t="e">
        <f>_xlfn.XLOOKUP([1]!Table134526_79101120212223242526[[#This Row],[Name Surname]],[1]Manpower!C:C,[1]Manpower!D:D,)</f>
        <v>#N/A</v>
      </c>
      <c r="G87" s="13" t="str">
        <f>_xlfn.XLOOKUP([1]!Table134526_79101120212223242526[[#This Row],[Name Surname]],[1]Manpower!$C$4:$C$1048576,[1]Manpower!$F$4:$F$1048576,"")</f>
        <v>300 KVA Generator</v>
      </c>
      <c r="H87" s="13" t="str">
        <f>_xlfn.XLOOKUP([1]!Table134526_79101120212223242526[[#This Row],[Name Surname]],[1]Manpower!$C$4:$C$1048576,[1]Manpower!$H$4:$H$1048576,"")</f>
        <v>Equipment</v>
      </c>
      <c r="I87" s="11" t="str">
        <f>_xlfn.XLOOKUP([1]!Table134526_79101120212223242526[[#This Row],[Name Surname]],[1]Manpower!$C$4:$C$1048576,[1]Manpower!$H$4:$H$1048576,"")</f>
        <v>Equipment</v>
      </c>
      <c r="J87" s="13" t="s">
        <v>9</v>
      </c>
      <c r="K87" s="13" t="s">
        <v>7</v>
      </c>
      <c r="L87" s="13" t="s">
        <v>10</v>
      </c>
      <c r="M87" s="13" t="s">
        <v>18</v>
      </c>
      <c r="N87" s="14">
        <v>10</v>
      </c>
      <c r="O87" s="13"/>
      <c r="P87" s="13"/>
      <c r="Q87" s="13"/>
      <c r="R87" s="13" t="s">
        <v>60</v>
      </c>
      <c r="S87" s="15"/>
    </row>
    <row r="88" spans="1:19" x14ac:dyDescent="0.3">
      <c r="A88" s="1" t="e">
        <f>IF(C88="","",MAX($A$2:A87)+1)</f>
        <v>#REF!</v>
      </c>
      <c r="B88" s="10" t="s">
        <v>0</v>
      </c>
      <c r="C88" s="3">
        <v>46085</v>
      </c>
      <c r="D88" s="5" t="str">
        <f>_xlfn.XLOOKUP([1]!Table134526_79101120212223242526[[#This Row],[Name Surname]],[1]Manpower!$C$4:$C$1048576,[1]Manpower!$B$4:$B$1048576,"")</f>
        <v>Encogroup</v>
      </c>
      <c r="E88" s="5" t="s">
        <v>8</v>
      </c>
      <c r="F88" s="4" t="e">
        <f>_xlfn.XLOOKUP([1]!Table134526_79101120212223242526[[#This Row],[Name Surname]],[1]Manpower!C:C,[1]Manpower!D:D,)</f>
        <v>#N/A</v>
      </c>
      <c r="G88" s="5" t="str">
        <f>_xlfn.XLOOKUP([1]!Table134526_79101120212223242526[[#This Row],[Name Surname]],[1]Manpower!$C$4:$C$1048576,[1]Manpower!$F$4:$F$1048576,"")</f>
        <v>35 KVA Generator</v>
      </c>
      <c r="H88" s="5" t="str">
        <f>_xlfn.XLOOKUP([1]!Table134526_79101120212223242526[[#This Row],[Name Surname]],[1]Manpower!$C$4:$C$1048576,[1]Manpower!$H$4:$H$1048576,"")</f>
        <v>Equipment</v>
      </c>
      <c r="I88" s="3" t="str">
        <f>_xlfn.XLOOKUP([1]!Table134526_79101120212223242526[[#This Row],[Name Surname]],[1]Manpower!$C$4:$C$1048576,[1]Manpower!$H$4:$H$1048576,"")</f>
        <v>Equipment</v>
      </c>
      <c r="J88" s="5" t="s">
        <v>9</v>
      </c>
      <c r="K88" s="5" t="s">
        <v>7</v>
      </c>
      <c r="L88" s="5" t="s">
        <v>10</v>
      </c>
      <c r="M88" s="5" t="s">
        <v>18</v>
      </c>
      <c r="N88" s="6">
        <v>10</v>
      </c>
      <c r="O88" s="5"/>
      <c r="P88" s="5"/>
      <c r="Q88" s="5"/>
      <c r="R88" s="5" t="s">
        <v>60</v>
      </c>
      <c r="S88" s="8"/>
    </row>
    <row r="89" spans="1:19" x14ac:dyDescent="0.3">
      <c r="A89" s="9" t="e">
        <f>IF(C89="","",MAX($A$2:A88)+1)</f>
        <v>#REF!</v>
      </c>
      <c r="B89" s="10" t="s">
        <v>0</v>
      </c>
      <c r="C89" s="11">
        <v>46085</v>
      </c>
      <c r="D89" s="13" t="str">
        <f>_xlfn.XLOOKUP([1]!Table134526_79101120212223242526[[#This Row],[Name Surname]],[1]Manpower!$C$4:$C$1048576,[1]Manpower!$B$4:$B$1048576,"")</f>
        <v>Encogroup</v>
      </c>
      <c r="E89" s="13" t="s">
        <v>15</v>
      </c>
      <c r="F89" s="12">
        <f>_xlfn.XLOOKUP([1]!Table134526_79101120212223242526[[#This Row],[Name Surname]],[1]Manpower!C:C,[1]Manpower!D:D,)</f>
        <v>140742144</v>
      </c>
      <c r="G89" s="13" t="str">
        <f>_xlfn.XLOOKUP([1]!Table134526_79101120212223242526[[#This Row],[Name Surname]],[1]Manpower!$C$4:$C$1048576,[1]Manpower!$F$4:$F$1048576,"")</f>
        <v>Assistant/Helper</v>
      </c>
      <c r="H89" s="13" t="str">
        <f>_xlfn.XLOOKUP([1]!Table134526_79101120212223242526[[#This Row],[Name Surname]],[1]Manpower!$C$4:$C$1048576,[1]Manpower!$H$4:$H$1048576,"")</f>
        <v>Manpower</v>
      </c>
      <c r="I89" s="11" t="str">
        <f>_xlfn.XLOOKUP([1]!Table134526_79101120212223242526[[#This Row],[Name Surname]],[1]Manpower!$C$4:$C$1048576,[1]Manpower!$H$4:$H$1048576,"")</f>
        <v>Manpower</v>
      </c>
      <c r="J89" s="13" t="s">
        <v>9</v>
      </c>
      <c r="K89" s="13" t="s">
        <v>7</v>
      </c>
      <c r="L89" s="13" t="s">
        <v>10</v>
      </c>
      <c r="M89" s="13" t="s">
        <v>18</v>
      </c>
      <c r="N89" s="14">
        <v>10</v>
      </c>
      <c r="O89" s="13"/>
      <c r="P89" s="13"/>
      <c r="Q89" s="13"/>
      <c r="R89" s="13" t="s">
        <v>60</v>
      </c>
      <c r="S89" s="15"/>
    </row>
    <row r="90" spans="1:19" x14ac:dyDescent="0.3">
      <c r="A90" s="1" t="e">
        <f>IF(C90="","",MAX($A$2:A89)+1)</f>
        <v>#REF!</v>
      </c>
      <c r="B90" s="10" t="s">
        <v>0</v>
      </c>
      <c r="C90" s="3">
        <v>46085</v>
      </c>
      <c r="D90" s="5" t="str">
        <f>_xlfn.XLOOKUP([1]!Table134526_79101120212223242526[[#This Row],[Name Surname]],[1]Manpower!$C$4:$C$1048576,[1]Manpower!$B$4:$B$1048576,"")</f>
        <v>SARENS NASS</v>
      </c>
      <c r="E90" s="5" t="s">
        <v>17</v>
      </c>
      <c r="F90" s="4">
        <f>_xlfn.XLOOKUP([1]!Table134526_79101120212223242526[[#This Row],[Name Surname]],[1]Manpower!C:C,[1]Manpower!D:D,)</f>
        <v>78753612</v>
      </c>
      <c r="G90" s="5" t="str">
        <f>_xlfn.XLOOKUP([1]!Table134526_79101120212223242526[[#This Row],[Name Surname]],[1]Manpower!$C$4:$C$1048576,[1]Manpower!$F$4:$F$1048576,"")</f>
        <v>Crane Operator- 70T Liebherr Telescopic Crane-02</v>
      </c>
      <c r="H90" s="5" t="str">
        <f>_xlfn.XLOOKUP([1]!Table134526_79101120212223242526[[#This Row],[Name Surname]],[1]Manpower!$C$4:$C$1048576,[1]Manpower!$H$4:$H$1048576,"")</f>
        <v>Manpower</v>
      </c>
      <c r="I90" s="3" t="str">
        <f>_xlfn.XLOOKUP([1]!Table134526_79101120212223242526[[#This Row],[Name Surname]],[1]Manpower!$C$4:$C$1048576,[1]Manpower!$H$4:$H$1048576,"")</f>
        <v>Manpower</v>
      </c>
      <c r="J90" s="5" t="s">
        <v>9</v>
      </c>
      <c r="K90" s="5" t="s">
        <v>7</v>
      </c>
      <c r="L90" s="5" t="s">
        <v>10</v>
      </c>
      <c r="M90" s="5" t="s">
        <v>18</v>
      </c>
      <c r="N90" s="6">
        <v>10</v>
      </c>
      <c r="O90" s="5"/>
      <c r="P90" s="5"/>
      <c r="Q90" s="5"/>
      <c r="R90" s="5" t="s">
        <v>60</v>
      </c>
      <c r="S90" s="8"/>
    </row>
    <row r="91" spans="1:19" x14ac:dyDescent="0.3">
      <c r="A91" s="9" t="e">
        <f>IF(C91="","",MAX($A$2:A90)+1)</f>
        <v>#REF!</v>
      </c>
      <c r="B91" s="10" t="s">
        <v>0</v>
      </c>
      <c r="C91" s="11">
        <v>46085</v>
      </c>
      <c r="D91" s="11" t="str">
        <f>_xlfn.XLOOKUP([1]!Table134526_79101120212223242526[[#This Row],[Name Surname]],[1]Manpower!$C$4:$C$1048576,[1]Manpower!$B$4:$B$1048576,"")</f>
        <v>Al Jaber Heavy Lift</v>
      </c>
      <c r="E91" s="11" t="s">
        <v>20</v>
      </c>
      <c r="F91" s="12">
        <f>_xlfn.XLOOKUP([1]!Table134526_79101120212223242526[[#This Row],[Name Surname]],[1]Manpower!C:C,[1]Manpower!D:D,)</f>
        <v>112778626</v>
      </c>
      <c r="G91" s="11" t="str">
        <f>_xlfn.XLOOKUP([1]!Table134526_79101120212223242526[[#This Row],[Name Surname]],[1]Manpower!$C$4:$C$1048576,[1]Manpower!$F$4:$F$1048576,"")</f>
        <v>Crane Operator-150T Hitachi Crawler</v>
      </c>
      <c r="H91" s="11" t="str">
        <f>_xlfn.XLOOKUP([1]!Table134526_79101120212223242526[[#This Row],[Name Surname]],[1]Manpower!$C$4:$C$1048576,[1]Manpower!$H$4:$H$1048576,"")</f>
        <v>Manpower</v>
      </c>
      <c r="I91" s="11" t="str">
        <f>_xlfn.XLOOKUP([1]!Table134526_79101120212223242526[[#This Row],[Name Surname]],[1]Manpower!$C$4:$C$1048576,[1]Manpower!$H$4:$H$1048576,"")</f>
        <v>Manpower</v>
      </c>
      <c r="J91" s="13" t="s">
        <v>9</v>
      </c>
      <c r="K91" s="13" t="s">
        <v>7</v>
      </c>
      <c r="L91" s="13" t="s">
        <v>10</v>
      </c>
      <c r="M91" s="13" t="s">
        <v>18</v>
      </c>
      <c r="N91" s="14">
        <v>10</v>
      </c>
      <c r="O91" s="13"/>
      <c r="P91" s="13"/>
      <c r="Q91" s="13"/>
      <c r="R91" s="13" t="s">
        <v>60</v>
      </c>
      <c r="S91" s="15"/>
    </row>
    <row r="92" spans="1:19" x14ac:dyDescent="0.3">
      <c r="A92" s="1" t="e">
        <f>IF(C92="","",MAX($A$2:A91)+1)</f>
        <v>#REF!</v>
      </c>
      <c r="B92" s="16" t="s">
        <v>21</v>
      </c>
      <c r="C92" s="3">
        <v>46084</v>
      </c>
      <c r="D92" s="5" t="str">
        <f>_xlfn.XLOOKUP([1]!Table134526_79101120212223242526[[#This Row],[Name Surname]],[1]Manpower!$C$4:$C$1048576,[1]Manpower!$B$4:$B$1048576,"")</f>
        <v>Bright Light</v>
      </c>
      <c r="E92" s="5" t="s">
        <v>32</v>
      </c>
      <c r="F92" s="4">
        <f>_xlfn.XLOOKUP([1]!Table134526_79101120212223242526[[#This Row],[Name Surname]],[1]Manpower!C:C,[1]Manpower!D:D,)</f>
        <v>122771611</v>
      </c>
      <c r="G92" s="5" t="str">
        <f>_xlfn.XLOOKUP([1]!Table134526_79101120212223242526[[#This Row],[Name Surname]],[1]Manpower!$C$4:$C$1048576,[1]Manpower!$F$4:$F$1048576,"")</f>
        <v>Mechanic</v>
      </c>
      <c r="H92" s="5" t="str">
        <f>_xlfn.XLOOKUP([1]!Table134526_79101120212223242526[[#This Row],[Name Surname]],[1]Manpower!$C$4:$C$1048576,[1]Manpower!$H$4:$H$1048576,"")</f>
        <v>Sub Contactor</v>
      </c>
      <c r="I92" s="3" t="str">
        <f>_xlfn.XLOOKUP([1]!Table134526_79101120212223242526[[#This Row],[Name Surname]],[1]Manpower!$C$4:$C$1048576,[1]Manpower!$H$4:$H$1048576,"")</f>
        <v>Sub Contactor</v>
      </c>
      <c r="J92" s="5" t="s">
        <v>23</v>
      </c>
      <c r="K92" s="5" t="s">
        <v>24</v>
      </c>
      <c r="L92" s="5" t="s">
        <v>25</v>
      </c>
      <c r="M92" s="5" t="s">
        <v>18</v>
      </c>
      <c r="N92" s="6">
        <v>10</v>
      </c>
      <c r="O92" s="5"/>
      <c r="P92" s="5"/>
      <c r="Q92" s="5"/>
      <c r="R92" s="5" t="s">
        <v>60</v>
      </c>
      <c r="S92" s="8"/>
    </row>
    <row r="93" spans="1:19" x14ac:dyDescent="0.3">
      <c r="A93" s="9" t="e">
        <f>IF(C93="","",MAX($A$2:A91)+1)</f>
        <v>#REF!</v>
      </c>
      <c r="B93" s="16" t="s">
        <v>21</v>
      </c>
      <c r="C93" s="11">
        <v>46085</v>
      </c>
      <c r="D93" s="13" t="str">
        <f>_xlfn.XLOOKUP([1]!Table134526_79101120212223242526[[#This Row],[Name Surname]],[1]Manpower!$C$4:$C$1048576,[1]Manpower!$B$4:$B$1048576,"")</f>
        <v>Encogroup</v>
      </c>
      <c r="E93" s="13" t="s">
        <v>22</v>
      </c>
      <c r="F93" s="12" t="str">
        <f>_xlfn.XLOOKUP([1]!Table134526_79101120212223242526[[#This Row],[Name Surname]],[1]Manpower!C:C,[1]Manpower!D:D,)</f>
        <v>U4181508</v>
      </c>
      <c r="G93" s="13" t="str">
        <f>_xlfn.XLOOKUP([1]!Table134526_79101120212223242526[[#This Row],[Name Surname]],[1]Manpower!$C$4:$C$1048576,[1]Manpower!$F$4:$F$1048576,"")</f>
        <v>Welder</v>
      </c>
      <c r="H93" s="13" t="str">
        <f>_xlfn.XLOOKUP([1]!Table134526_79101120212223242526[[#This Row],[Name Surname]],[1]Manpower!$C$4:$C$1048576,[1]Manpower!$H$4:$H$1048576,"")</f>
        <v>Manpower</v>
      </c>
      <c r="I93" s="11" t="str">
        <f>_xlfn.XLOOKUP([1]!Table134526_79101120212223242526[[#This Row],[Name Surname]],[1]Manpower!$C$4:$C$1048576,[1]Manpower!$H$4:$H$1048576,"")</f>
        <v>Manpower</v>
      </c>
      <c r="J93" s="13" t="s">
        <v>23</v>
      </c>
      <c r="K93" s="13" t="s">
        <v>24</v>
      </c>
      <c r="L93" s="13" t="s">
        <v>25</v>
      </c>
      <c r="M93" s="13" t="s">
        <v>18</v>
      </c>
      <c r="N93" s="14">
        <v>10</v>
      </c>
      <c r="O93" s="13"/>
      <c r="P93" s="13"/>
      <c r="Q93" s="13"/>
      <c r="R93" s="13" t="s">
        <v>60</v>
      </c>
      <c r="S93" s="15"/>
    </row>
    <row r="94" spans="1:19" x14ac:dyDescent="0.3">
      <c r="A94" s="1" t="e">
        <f>IF(C94="","",MAX($A$2:A93)+1)</f>
        <v>#REF!</v>
      </c>
      <c r="B94" s="16" t="s">
        <v>21</v>
      </c>
      <c r="C94" s="3">
        <v>46085</v>
      </c>
      <c r="D94" s="5" t="str">
        <f>_xlfn.XLOOKUP([1]!Table134526_79101120212223242526[[#This Row],[Name Surname]],[1]Manpower!$C$4:$C$1048576,[1]Manpower!$B$4:$B$1048576,"")</f>
        <v>Encogroup</v>
      </c>
      <c r="E94" s="5" t="s">
        <v>28</v>
      </c>
      <c r="F94" s="4">
        <f>_xlfn.XLOOKUP([1]!Table134526_79101120212223242526[[#This Row],[Name Surname]],[1]Manpower!C:C,[1]Manpower!D:D,)</f>
        <v>125440631</v>
      </c>
      <c r="G94" s="5" t="str">
        <f>_xlfn.XLOOKUP([1]!Table134526_79101120212223242526[[#This Row],[Name Surname]],[1]Manpower!$C$4:$C$1048576,[1]Manpower!$F$4:$F$1048576,"")</f>
        <v>Rigger</v>
      </c>
      <c r="H94" s="5" t="str">
        <f>_xlfn.XLOOKUP([1]!Table134526_79101120212223242526[[#This Row],[Name Surname]],[1]Manpower!$C$4:$C$1048576,[1]Manpower!$H$4:$H$1048576,"")</f>
        <v>Manpower</v>
      </c>
      <c r="I94" s="3" t="str">
        <f>_xlfn.XLOOKUP([1]!Table134526_79101120212223242526[[#This Row],[Name Surname]],[1]Manpower!$C$4:$C$1048576,[1]Manpower!$H$4:$H$1048576,"")</f>
        <v>Manpower</v>
      </c>
      <c r="J94" s="5" t="s">
        <v>23</v>
      </c>
      <c r="K94" s="5" t="s">
        <v>24</v>
      </c>
      <c r="L94" s="5" t="s">
        <v>25</v>
      </c>
      <c r="M94" s="5" t="s">
        <v>18</v>
      </c>
      <c r="N94" s="6">
        <v>10</v>
      </c>
      <c r="O94" s="5"/>
      <c r="P94" s="5"/>
      <c r="Q94" s="5"/>
      <c r="R94" s="5" t="s">
        <v>60</v>
      </c>
      <c r="S94" s="8"/>
    </row>
    <row r="95" spans="1:19" x14ac:dyDescent="0.3">
      <c r="A95" s="9" t="e">
        <f>IF(C95="","",MAX($A$2:A94)+1)</f>
        <v>#REF!</v>
      </c>
      <c r="B95" s="16" t="s">
        <v>21</v>
      </c>
      <c r="C95" s="11">
        <v>46085</v>
      </c>
      <c r="D95" s="13" t="str">
        <f>_xlfn.XLOOKUP([1]!Table134526_79101120212223242526[[#This Row],[Name Surname]],[1]Manpower!$C$4:$C$1048576,[1]Manpower!$B$4:$B$1048576,"")</f>
        <v>Encogroup</v>
      </c>
      <c r="E95" s="13" t="s">
        <v>31</v>
      </c>
      <c r="F95" s="12">
        <f>_xlfn.XLOOKUP([1]!Table134526_79101120212223242526[[#This Row],[Name Surname]],[1]Manpower!C:C,[1]Manpower!D:D,)</f>
        <v>137114773</v>
      </c>
      <c r="G95" s="13" t="str">
        <f>_xlfn.XLOOKUP([1]!Table134526_79101120212223242526[[#This Row],[Name Surname]],[1]Manpower!$C$4:$C$1048576,[1]Manpower!$F$4:$F$1048576,"")</f>
        <v>Rigger</v>
      </c>
      <c r="H95" s="13" t="str">
        <f>_xlfn.XLOOKUP([1]!Table134526_79101120212223242526[[#This Row],[Name Surname]],[1]Manpower!$C$4:$C$1048576,[1]Manpower!$H$4:$H$1048576,"")</f>
        <v>Manpower</v>
      </c>
      <c r="I95" s="11" t="str">
        <f>_xlfn.XLOOKUP([1]!Table134526_79101120212223242526[[#This Row],[Name Surname]],[1]Manpower!$C$4:$C$1048576,[1]Manpower!$H$4:$H$1048576,"")</f>
        <v>Manpower</v>
      </c>
      <c r="J95" s="13" t="s">
        <v>23</v>
      </c>
      <c r="K95" s="13" t="s">
        <v>24</v>
      </c>
      <c r="L95" s="13" t="s">
        <v>25</v>
      </c>
      <c r="M95" s="13" t="s">
        <v>18</v>
      </c>
      <c r="N95" s="14">
        <v>10</v>
      </c>
      <c r="O95" s="13"/>
      <c r="P95" s="13"/>
      <c r="Q95" s="13"/>
      <c r="R95" s="13" t="s">
        <v>60</v>
      </c>
      <c r="S95" s="15"/>
    </row>
    <row r="96" spans="1:19" x14ac:dyDescent="0.3">
      <c r="A96" s="1" t="e">
        <f>IF(C96="","",MAX($A$2:A95)+1)</f>
        <v>#REF!</v>
      </c>
      <c r="B96" s="16" t="s">
        <v>21</v>
      </c>
      <c r="C96" s="3">
        <v>46085</v>
      </c>
      <c r="D96" s="5" t="str">
        <f>_xlfn.XLOOKUP([1]!Table134526_79101120212223242526[[#This Row],[Name Surname]],[1]Manpower!$C$4:$C$1048576,[1]Manpower!$B$4:$B$1048576,"")</f>
        <v>AL Omar International TRAD AND CONT</v>
      </c>
      <c r="E96" s="5" t="s">
        <v>32</v>
      </c>
      <c r="F96" s="4">
        <f>_xlfn.XLOOKUP([1]!Table134526_79101120212223242526[[#This Row],[Name Surname]],[1]Manpower!C:C,[1]Manpower!D:D,)</f>
        <v>115731078</v>
      </c>
      <c r="G96" s="5" t="str">
        <f>_xlfn.XLOOKUP([1]!Table134526_79101120212223242526[[#This Row],[Name Surname]],[1]Manpower!$C$4:$C$1048576,[1]Manpower!$F$4:$F$1048576,"")</f>
        <v>Scaffolder</v>
      </c>
      <c r="H96" s="5" t="str">
        <f>_xlfn.XLOOKUP([1]!Table134526_79101120212223242526[[#This Row],[Name Surname]],[1]Manpower!$C$4:$C$1048576,[1]Manpower!$H$4:$H$1048576,"")</f>
        <v>Sub Contactor</v>
      </c>
      <c r="I96" s="3" t="str">
        <f>_xlfn.XLOOKUP([1]!Table134526_79101120212223242526[[#This Row],[Name Surname]],[1]Manpower!$C$4:$C$1048576,[1]Manpower!$H$4:$H$1048576,"")</f>
        <v>Sub Contactor</v>
      </c>
      <c r="J96" s="5" t="s">
        <v>23</v>
      </c>
      <c r="K96" s="5" t="s">
        <v>24</v>
      </c>
      <c r="L96" s="5" t="s">
        <v>25</v>
      </c>
      <c r="M96" s="5" t="s">
        <v>18</v>
      </c>
      <c r="N96" s="6">
        <v>10</v>
      </c>
      <c r="O96" s="5"/>
      <c r="P96" s="5"/>
      <c r="Q96" s="5"/>
      <c r="R96" s="5" t="s">
        <v>60</v>
      </c>
      <c r="S96" s="8"/>
    </row>
    <row r="97" spans="1:19" x14ac:dyDescent="0.3">
      <c r="A97" s="9" t="e">
        <f>IF(C97="","",MAX($A$2:A95)+1)</f>
        <v>#REF!</v>
      </c>
      <c r="B97" s="16" t="s">
        <v>21</v>
      </c>
      <c r="C97" s="11">
        <v>46085</v>
      </c>
      <c r="D97" s="13" t="str">
        <f>_xlfn.XLOOKUP([1]!Table134526_79101120212223242526[[#This Row],[Name Surname]],[1]Manpower!$C$4:$C$1048576,[1]Manpower!$B$4:$B$1048576,"")</f>
        <v>Encogroup</v>
      </c>
      <c r="E97" s="11" t="s">
        <v>34</v>
      </c>
      <c r="F97" s="12">
        <f>_xlfn.XLOOKUP([1]!Table134526_79101120212223242526[[#This Row],[Name Surname]],[1]Manpower!C:C,[1]Manpower!D:D,)</f>
        <v>140764355</v>
      </c>
      <c r="G97" s="13" t="str">
        <f>_xlfn.XLOOKUP([1]!Table134526_79101120212223242526[[#This Row],[Name Surname]],[1]Manpower!$C$4:$C$1048576,[1]Manpower!$F$4:$F$1048576,"")</f>
        <v>Fitter/Erector</v>
      </c>
      <c r="H97" s="13" t="str">
        <f>_xlfn.XLOOKUP([1]!Table134526_79101120212223242526[[#This Row],[Name Surname]],[1]Manpower!$C$4:$C$1048576,[1]Manpower!$H$4:$H$1048576,"")</f>
        <v>Manpower</v>
      </c>
      <c r="I97" s="11" t="str">
        <f>_xlfn.XLOOKUP([1]!Table134526_79101120212223242526[[#This Row],[Name Surname]],[1]Manpower!$C$4:$C$1048576,[1]Manpower!$H$4:$H$1048576,"")</f>
        <v>Manpower</v>
      </c>
      <c r="J97" s="13" t="s">
        <v>23</v>
      </c>
      <c r="K97" s="13" t="s">
        <v>24</v>
      </c>
      <c r="L97" s="13" t="s">
        <v>25</v>
      </c>
      <c r="M97" s="13" t="s">
        <v>18</v>
      </c>
      <c r="N97" s="14">
        <v>10</v>
      </c>
      <c r="O97" s="13"/>
      <c r="P97" s="13"/>
      <c r="Q97" s="13"/>
      <c r="R97" s="13" t="s">
        <v>60</v>
      </c>
      <c r="S97" s="15"/>
    </row>
    <row r="98" spans="1:19" x14ac:dyDescent="0.3">
      <c r="A98" s="1" t="e">
        <f>IF(C98="","",MAX($A$2:A97)+1)</f>
        <v>#REF!</v>
      </c>
      <c r="B98" s="17" t="s">
        <v>36</v>
      </c>
      <c r="C98" s="3">
        <v>46085</v>
      </c>
      <c r="D98" s="5" t="str">
        <f>_xlfn.XLOOKUP([1]!Table134526_79101120212223242526[[#This Row],[Name Surname]],[1]Manpower!$C$4:$C$1048576,[1]Manpower!$B$4:$B$1048576,"")</f>
        <v>Encogroup</v>
      </c>
      <c r="E98" s="5" t="s">
        <v>37</v>
      </c>
      <c r="F98" s="4" t="str">
        <f>_xlfn.XLOOKUP([1]!Table134526_79101120212223242526[[#This Row],[Name Surname]],[1]Manpower!C:C,[1]Manpower!D:D,)</f>
        <v>S3549132</v>
      </c>
      <c r="G98" s="5" t="str">
        <f>_xlfn.XLOOKUP([1]!Table134526_79101120212223242526[[#This Row],[Name Surname]],[1]Manpower!$C$4:$C$1048576,[1]Manpower!$F$4:$F$1048576,"")</f>
        <v>Grinder</v>
      </c>
      <c r="H98" s="5" t="str">
        <f>_xlfn.XLOOKUP([1]!Table134526_79101120212223242526[[#This Row],[Name Surname]],[1]Manpower!$C$4:$C$1048576,[1]Manpower!$H$4:$H$1048576,"")</f>
        <v>Manpower</v>
      </c>
      <c r="I98" s="3" t="str">
        <f>_xlfn.XLOOKUP([1]!Table134526_79101120212223242526[[#This Row],[Name Surname]],[1]Manpower!$C$4:$C$1048576,[1]Manpower!$H$4:$H$1048576,"")</f>
        <v>Manpower</v>
      </c>
      <c r="J98" s="5" t="s">
        <v>38</v>
      </c>
      <c r="K98" s="5" t="s">
        <v>7</v>
      </c>
      <c r="L98" s="5" t="s">
        <v>39</v>
      </c>
      <c r="M98" s="5" t="s">
        <v>18</v>
      </c>
      <c r="N98" s="6">
        <v>10</v>
      </c>
      <c r="O98" s="5"/>
      <c r="P98" s="5"/>
      <c r="Q98" s="5"/>
      <c r="R98" s="5" t="s">
        <v>60</v>
      </c>
      <c r="S98" s="8"/>
    </row>
    <row r="99" spans="1:19" x14ac:dyDescent="0.3">
      <c r="A99" s="9" t="e">
        <f>IF(C99="","",MAX($A$2:A98)+1)</f>
        <v>#REF!</v>
      </c>
      <c r="B99" s="17" t="s">
        <v>36</v>
      </c>
      <c r="C99" s="11">
        <v>46085</v>
      </c>
      <c r="D99" s="13" t="str">
        <f>_xlfn.XLOOKUP([1]!Table134526_79101120212223242526[[#This Row],[Name Surname]],[1]Manpower!$C$4:$C$1048576,[1]Manpower!$B$4:$B$1048576,"")</f>
        <v>Encogroup</v>
      </c>
      <c r="E99" s="11" t="s">
        <v>40</v>
      </c>
      <c r="F99" s="12">
        <f>_xlfn.XLOOKUP([1]!Table134526_79101120212223242526[[#This Row],[Name Surname]],[1]Manpower!C:C,[1]Manpower!D:D,)</f>
        <v>140742125</v>
      </c>
      <c r="G99" s="13" t="str">
        <f>_xlfn.XLOOKUP([1]!Table134526_79101120212223242526[[#This Row],[Name Surname]],[1]Manpower!$C$4:$C$1048576,[1]Manpower!$F$4:$F$1048576,"")</f>
        <v>Assistant/Helper</v>
      </c>
      <c r="H99" s="13" t="str">
        <f>_xlfn.XLOOKUP([1]!Table134526_79101120212223242526[[#This Row],[Name Surname]],[1]Manpower!$C$4:$C$1048576,[1]Manpower!$H$4:$H$1048576,"")</f>
        <v>Manpower</v>
      </c>
      <c r="I99" s="11" t="str">
        <f>_xlfn.XLOOKUP([1]!Table134526_79101120212223242526[[#This Row],[Name Surname]],[1]Manpower!$C$4:$C$1048576,[1]Manpower!$H$4:$H$1048576,"")</f>
        <v>Manpower</v>
      </c>
      <c r="J99" s="13" t="s">
        <v>38</v>
      </c>
      <c r="K99" s="13" t="s">
        <v>7</v>
      </c>
      <c r="L99" s="13" t="s">
        <v>39</v>
      </c>
      <c r="M99" s="13" t="s">
        <v>18</v>
      </c>
      <c r="N99" s="14">
        <v>10</v>
      </c>
      <c r="O99" s="13"/>
      <c r="P99" s="13"/>
      <c r="Q99" s="13"/>
      <c r="R99" s="13" t="s">
        <v>60</v>
      </c>
      <c r="S99" s="15"/>
    </row>
    <row r="100" spans="1:19" x14ac:dyDescent="0.3">
      <c r="A100" s="1" t="e">
        <f>IF(C100="","",MAX($A$2:A98)+1)</f>
        <v>#REF!</v>
      </c>
      <c r="B100" s="17" t="s">
        <v>36</v>
      </c>
      <c r="C100" s="3">
        <v>46085</v>
      </c>
      <c r="D100" s="5" t="str">
        <f>_xlfn.XLOOKUP([1]!Table134526_79101120212223242526[[#This Row],[Name Surname]],[1]Manpower!$C$4:$C$1048576,[1]Manpower!$B$4:$B$1048576,"")</f>
        <v>Encogroup</v>
      </c>
      <c r="E100" s="5" t="s">
        <v>41</v>
      </c>
      <c r="F100" s="4">
        <f>_xlfn.XLOOKUP([1]!Table134526_79101120212223242526[[#This Row],[Name Surname]],[1]Manpower!C:C,[1]Manpower!D:D,)</f>
        <v>124398279</v>
      </c>
      <c r="G100" s="5" t="str">
        <f>_xlfn.XLOOKUP([1]!Table134526_79101120212223242526[[#This Row],[Name Surname]],[1]Manpower!$C$4:$C$1048576,[1]Manpower!$F$4:$F$1048576,"")</f>
        <v>Permit Receiver</v>
      </c>
      <c r="H100" s="5" t="str">
        <f>_xlfn.XLOOKUP([1]!Table134526_79101120212223242526[[#This Row],[Name Surname]],[1]Manpower!$C$4:$C$1048576,[1]Manpower!$H$4:$H$1048576,"")</f>
        <v>Manpower</v>
      </c>
      <c r="I100" s="3" t="str">
        <f>_xlfn.XLOOKUP([1]!Table134526_79101120212223242526[[#This Row],[Name Surname]],[1]Manpower!$C$4:$C$1048576,[1]Manpower!$H$4:$H$1048576,"")</f>
        <v>Manpower</v>
      </c>
      <c r="J100" s="5" t="s">
        <v>38</v>
      </c>
      <c r="K100" s="5" t="s">
        <v>7</v>
      </c>
      <c r="L100" s="5" t="s">
        <v>39</v>
      </c>
      <c r="M100" s="5" t="s">
        <v>18</v>
      </c>
      <c r="N100" s="6">
        <v>10</v>
      </c>
      <c r="O100" s="5"/>
      <c r="P100" s="5"/>
      <c r="Q100" s="5"/>
      <c r="R100" s="5" t="s">
        <v>60</v>
      </c>
      <c r="S100" s="8"/>
    </row>
    <row r="101" spans="1:19" x14ac:dyDescent="0.3">
      <c r="A101" s="9" t="e">
        <f>IF(C101="","",MAX($A$2:A100)+1)</f>
        <v>#REF!</v>
      </c>
      <c r="B101" s="17" t="s">
        <v>36</v>
      </c>
      <c r="C101" s="11">
        <v>46085</v>
      </c>
      <c r="D101" s="13" t="str">
        <f>_xlfn.XLOOKUP([1]!Table134526_79101120212223242526[[#This Row],[Name Surname]],[1]Manpower!$C$4:$C$1048576,[1]Manpower!$B$4:$B$1048576,"")</f>
        <v>Encogroup</v>
      </c>
      <c r="E101" s="13" t="s">
        <v>43</v>
      </c>
      <c r="F101" s="12">
        <f>_xlfn.XLOOKUP([1]!Table134526_79101120212223242526[[#This Row],[Name Surname]],[1]Manpower!C:C,[1]Manpower!D:D,)</f>
        <v>140809004</v>
      </c>
      <c r="G101" s="13" t="str">
        <f>_xlfn.XLOOKUP([1]!Table134526_79101120212223242526[[#This Row],[Name Surname]],[1]Manpower!$C$4:$C$1048576,[1]Manpower!$F$4:$F$1048576,"")</f>
        <v>Fitter/Erector</v>
      </c>
      <c r="H101" s="13" t="str">
        <f>_xlfn.XLOOKUP([1]!Table134526_79101120212223242526[[#This Row],[Name Surname]],[1]Manpower!$C$4:$C$1048576,[1]Manpower!$H$4:$H$1048576,"")</f>
        <v>Manpower</v>
      </c>
      <c r="I101" s="11" t="str">
        <f>_xlfn.XLOOKUP([1]!Table134526_79101120212223242526[[#This Row],[Name Surname]],[1]Manpower!$C$4:$C$1048576,[1]Manpower!$H$4:$H$1048576,"")</f>
        <v>Manpower</v>
      </c>
      <c r="J101" s="13" t="s">
        <v>38</v>
      </c>
      <c r="K101" s="13" t="s">
        <v>7</v>
      </c>
      <c r="L101" s="13" t="s">
        <v>39</v>
      </c>
      <c r="M101" s="13" t="s">
        <v>18</v>
      </c>
      <c r="N101" s="14">
        <v>10</v>
      </c>
      <c r="O101" s="13"/>
      <c r="P101" s="13"/>
      <c r="Q101" s="13"/>
      <c r="R101" s="13" t="s">
        <v>60</v>
      </c>
      <c r="S101" s="15"/>
    </row>
    <row r="102" spans="1:19" x14ac:dyDescent="0.3">
      <c r="A102" s="1" t="e">
        <f>IF(C102="","",MAX($A$2:A101)+1)</f>
        <v>#REF!</v>
      </c>
      <c r="B102" s="17" t="s">
        <v>36</v>
      </c>
      <c r="C102" s="3">
        <v>46085</v>
      </c>
      <c r="D102" s="5" t="str">
        <f>_xlfn.XLOOKUP([1]!Table134526_79101120212223242526[[#This Row],[Name Surname]],[1]Manpower!$C$4:$C$1048576,[1]Manpower!$B$4:$B$1048576,"")</f>
        <v>Encogroup</v>
      </c>
      <c r="E102" s="5" t="s">
        <v>45</v>
      </c>
      <c r="F102" s="4">
        <f>_xlfn.XLOOKUP([1]!Table134526_79101120212223242526[[#This Row],[Name Surname]],[1]Manpower!C:C,[1]Manpower!D:D,)</f>
        <v>140683436</v>
      </c>
      <c r="G102" s="5" t="str">
        <f>_xlfn.XLOOKUP([1]!Table134526_79101120212223242526[[#This Row],[Name Surname]],[1]Manpower!$C$4:$C$1048576,[1]Manpower!$F$4:$F$1048576,"")</f>
        <v>Scaffolder</v>
      </c>
      <c r="H102" s="5" t="str">
        <f>_xlfn.XLOOKUP([1]!Table134526_79101120212223242526[[#This Row],[Name Surname]],[1]Manpower!$C$4:$C$1048576,[1]Manpower!$H$4:$H$1048576,"")</f>
        <v>Manpower</v>
      </c>
      <c r="I102" s="3" t="str">
        <f>_xlfn.XLOOKUP([1]!Table134526_79101120212223242526[[#This Row],[Name Surname]],[1]Manpower!$C$4:$C$1048576,[1]Manpower!$H$4:$H$1048576,"")</f>
        <v>Manpower</v>
      </c>
      <c r="J102" s="5" t="s">
        <v>38</v>
      </c>
      <c r="K102" s="5" t="s">
        <v>7</v>
      </c>
      <c r="L102" s="5" t="s">
        <v>39</v>
      </c>
      <c r="M102" s="5" t="s">
        <v>18</v>
      </c>
      <c r="N102" s="6">
        <v>10</v>
      </c>
      <c r="O102" s="5"/>
      <c r="P102" s="5"/>
      <c r="Q102" s="5"/>
      <c r="R102" s="5" t="s">
        <v>60</v>
      </c>
      <c r="S102" s="8"/>
    </row>
    <row r="103" spans="1:19" x14ac:dyDescent="0.3">
      <c r="A103" s="9" t="e">
        <f>IF(C103="","",MAX($A$2:A102)+1)</f>
        <v>#REF!</v>
      </c>
      <c r="B103" s="17" t="s">
        <v>36</v>
      </c>
      <c r="C103" s="11">
        <v>46085</v>
      </c>
      <c r="D103" s="13" t="str">
        <f>_xlfn.XLOOKUP([1]!Table134526_79101120212223242526[[#This Row],[Name Surname]],[1]Manpower!$C$4:$C$1048576,[1]Manpower!$B$4:$B$1048576,"")</f>
        <v>Encogroup</v>
      </c>
      <c r="E103" s="13" t="s">
        <v>46</v>
      </c>
      <c r="F103" s="12" t="e">
        <f>_xlfn.XLOOKUP([1]!Table134526_79101120212223242526[[#This Row],[Name Surname]],[1]Manpower!C:C,[1]Manpower!D:D,)</f>
        <v>#N/A</v>
      </c>
      <c r="G103" s="13" t="str">
        <f>_xlfn.XLOOKUP([1]!Table134526_79101120212223242526[[#This Row],[Name Surname]],[1]Manpower!$C$4:$C$1048576,[1]Manpower!$F$4:$F$1048576,"")</f>
        <v>7T-HIAB</v>
      </c>
      <c r="H103" s="13" t="str">
        <f>_xlfn.XLOOKUP([1]!Table134526_79101120212223242526[[#This Row],[Name Surname]],[1]Manpower!$C$4:$C$1048576,[1]Manpower!$H$4:$H$1048576,"")</f>
        <v>Equipment</v>
      </c>
      <c r="I103" s="11" t="str">
        <f>_xlfn.XLOOKUP([1]!Table134526_79101120212223242526[[#This Row],[Name Surname]],[1]Manpower!$C$4:$C$1048576,[1]Manpower!$H$4:$H$1048576,"")</f>
        <v>Equipment</v>
      </c>
      <c r="J103" s="13" t="s">
        <v>38</v>
      </c>
      <c r="K103" s="13" t="s">
        <v>7</v>
      </c>
      <c r="L103" s="13" t="s">
        <v>39</v>
      </c>
      <c r="M103" s="13" t="s">
        <v>18</v>
      </c>
      <c r="N103" s="14">
        <v>10</v>
      </c>
      <c r="O103" s="13"/>
      <c r="P103" s="13"/>
      <c r="Q103" s="13"/>
      <c r="R103" s="13" t="s">
        <v>60</v>
      </c>
      <c r="S103" s="15"/>
    </row>
    <row r="104" spans="1:19" x14ac:dyDescent="0.3">
      <c r="A104" s="1" t="e">
        <f>IF(C104="","",MAX($A$2:A103)+1)</f>
        <v>#REF!</v>
      </c>
      <c r="B104" s="17" t="s">
        <v>36</v>
      </c>
      <c r="C104" s="3">
        <v>46085</v>
      </c>
      <c r="D104" s="5" t="str">
        <f>_xlfn.XLOOKUP([1]!Table134526_79101120212223242526[[#This Row],[Name Surname]],[1]Manpower!$C$4:$C$1048576,[1]Manpower!$B$4:$B$1048576,"")</f>
        <v>Encogroup</v>
      </c>
      <c r="E104" s="5" t="s">
        <v>48</v>
      </c>
      <c r="F104" s="4">
        <f>_xlfn.XLOOKUP([1]!Table134526_79101120212223242526[[#This Row],[Name Surname]],[1]Manpower!C:C,[1]Manpower!D:D,)</f>
        <v>9138415</v>
      </c>
      <c r="G104" s="5" t="str">
        <f>_xlfn.XLOOKUP([1]!Table134526_79101120212223242526[[#This Row],[Name Surname]],[1]Manpower!$C$4:$C$1048576,[1]Manpower!$F$4:$F$1048576,"")</f>
        <v>HIAB Driver</v>
      </c>
      <c r="H104" s="5" t="str">
        <f>_xlfn.XLOOKUP([1]!Table134526_79101120212223242526[[#This Row],[Name Surname]],[1]Manpower!$C$4:$C$1048576,[1]Manpower!$H$4:$H$1048576,"")</f>
        <v>Manpower</v>
      </c>
      <c r="I104" s="3" t="str">
        <f>_xlfn.XLOOKUP([1]!Table134526_79101120212223242526[[#This Row],[Name Surname]],[1]Manpower!$C$4:$C$1048576,[1]Manpower!$H$4:$H$1048576,"")</f>
        <v>Manpower</v>
      </c>
      <c r="J104" s="5" t="s">
        <v>38</v>
      </c>
      <c r="K104" s="5" t="s">
        <v>7</v>
      </c>
      <c r="L104" s="5" t="s">
        <v>39</v>
      </c>
      <c r="M104" s="5" t="s">
        <v>18</v>
      </c>
      <c r="N104" s="6">
        <v>10</v>
      </c>
      <c r="O104" s="5"/>
      <c r="P104" s="5"/>
      <c r="Q104" s="5"/>
      <c r="R104" s="5" t="s">
        <v>60</v>
      </c>
      <c r="S104" s="8"/>
    </row>
    <row r="105" spans="1:19" x14ac:dyDescent="0.3">
      <c r="A105" s="9" t="e">
        <f>IF(C105="","",MAX($A$2:A104)+1)</f>
        <v>#REF!</v>
      </c>
      <c r="B105" s="17" t="s">
        <v>36</v>
      </c>
      <c r="C105" s="11">
        <v>46085</v>
      </c>
      <c r="D105" s="13" t="str">
        <f>_xlfn.XLOOKUP([1]!Table134526_79101120212223242526[[#This Row],[Name Surname]],[1]Manpower!$C$4:$C$1048576,[1]Manpower!$B$4:$B$1048576,"")</f>
        <v>GAF</v>
      </c>
      <c r="E105" s="13" t="s">
        <v>49</v>
      </c>
      <c r="F105" s="12">
        <f>_xlfn.XLOOKUP([1]!Table134526_79101120212223242526[[#This Row],[Name Surname]],[1]Manpower!C:C,[1]Manpower!D:D,)</f>
        <v>78785394</v>
      </c>
      <c r="G105" s="13" t="str">
        <f>_xlfn.XLOOKUP([1]!Table134526_79101120212223242526[[#This Row],[Name Surname]],[1]Manpower!$C$4:$C$1048576,[1]Manpower!$F$4:$F$1048576,"")</f>
        <v>Helper</v>
      </c>
      <c r="H105" s="13" t="str">
        <f>_xlfn.XLOOKUP([1]!Table134526_79101120212223242526[[#This Row],[Name Surname]],[1]Manpower!$C$4:$C$1048576,[1]Manpower!$H$4:$H$1048576,"")</f>
        <v>Sub Contactor</v>
      </c>
      <c r="I105" s="11" t="str">
        <f>_xlfn.XLOOKUP([1]!Table134526_79101120212223242526[[#This Row],[Name Surname]],[1]Manpower!$C$4:$C$1048576,[1]Manpower!$H$4:$H$1048576,"")</f>
        <v>Sub Contactor</v>
      </c>
      <c r="J105" s="13" t="s">
        <v>38</v>
      </c>
      <c r="K105" s="13" t="s">
        <v>7</v>
      </c>
      <c r="L105" s="13" t="s">
        <v>39</v>
      </c>
      <c r="M105" s="13" t="s">
        <v>18</v>
      </c>
      <c r="N105" s="14">
        <v>10</v>
      </c>
      <c r="O105" s="13"/>
      <c r="P105" s="13"/>
      <c r="Q105" s="13"/>
      <c r="R105" s="13" t="s">
        <v>60</v>
      </c>
      <c r="S105" s="15"/>
    </row>
    <row r="106" spans="1:19" x14ac:dyDescent="0.3">
      <c r="A106" s="1" t="e">
        <f>IF(C106="","",MAX($A$2:A105)+1)</f>
        <v>#REF!</v>
      </c>
      <c r="B106" s="17" t="s">
        <v>36</v>
      </c>
      <c r="C106" s="3">
        <v>46085</v>
      </c>
      <c r="D106" s="5" t="str">
        <f>_xlfn.XLOOKUP([1]!Table134526_79101120212223242526[[#This Row],[Name Surname]],[1]Manpower!$C$4:$C$1048576,[1]Manpower!$B$4:$B$1048576,"")</f>
        <v>Encogroup</v>
      </c>
      <c r="E106" s="5" t="s">
        <v>50</v>
      </c>
      <c r="F106" s="4">
        <f>_xlfn.XLOOKUP([1]!Table134526_79101120212223242526[[#This Row],[Name Surname]],[1]Manpower!C:C,[1]Manpower!D:D,)</f>
        <v>141359024</v>
      </c>
      <c r="G106" s="5" t="str">
        <f>_xlfn.XLOOKUP([1]!Table134526_79101120212223242526[[#This Row],[Name Surname]],[1]Manpower!$C$4:$C$1048576,[1]Manpower!$F$4:$F$1048576,"")</f>
        <v>Hydraulic Mechanic</v>
      </c>
      <c r="H106" s="5" t="str">
        <f>_xlfn.XLOOKUP([1]!Table134526_79101120212223242526[[#This Row],[Name Surname]],[1]Manpower!$C$4:$C$1048576,[1]Manpower!$H$4:$H$1048576,"")</f>
        <v>Manpower</v>
      </c>
      <c r="I106" s="3" t="str">
        <f>_xlfn.XLOOKUP([1]!Table134526_79101120212223242526[[#This Row],[Name Surname]],[1]Manpower!$C$4:$C$1048576,[1]Manpower!$H$4:$H$1048576,"")</f>
        <v>Manpower</v>
      </c>
      <c r="J106" s="5" t="s">
        <v>38</v>
      </c>
      <c r="K106" s="5" t="s">
        <v>7</v>
      </c>
      <c r="L106" s="5" t="s">
        <v>39</v>
      </c>
      <c r="M106" s="5" t="s">
        <v>5</v>
      </c>
      <c r="N106" s="6">
        <v>10</v>
      </c>
      <c r="O106" s="5"/>
      <c r="P106" s="5"/>
      <c r="Q106" s="5"/>
      <c r="R106" s="5" t="s">
        <v>60</v>
      </c>
      <c r="S106" s="8"/>
    </row>
    <row r="107" spans="1:19" x14ac:dyDescent="0.3">
      <c r="A107" s="9" t="e">
        <f>IF(C107="","",MAX($A$2:A106)+1)</f>
        <v>#REF!</v>
      </c>
      <c r="B107" s="17" t="s">
        <v>36</v>
      </c>
      <c r="C107" s="11">
        <v>46085</v>
      </c>
      <c r="D107" s="13" t="str">
        <f>_xlfn.XLOOKUP([1]!Table134526_79101120212223242526[[#This Row],[Name Surname]],[1]Manpower!$C$4:$C$1048576,[1]Manpower!$B$4:$B$1048576,"")</f>
        <v>Encogroup</v>
      </c>
      <c r="E107" s="11" t="s">
        <v>51</v>
      </c>
      <c r="F107" s="12">
        <f>_xlfn.XLOOKUP([1]!Table134526_79101120212223242526[[#This Row],[Name Surname]],[1]Manpower!C:C,[1]Manpower!D:D,)</f>
        <v>140844759</v>
      </c>
      <c r="G107" s="13" t="str">
        <f>_xlfn.XLOOKUP([1]!Table134526_79101120212223242526[[#This Row],[Name Surname]],[1]Manpower!$C$4:$C$1048576,[1]Manpower!$F$4:$F$1048576,"")</f>
        <v>Welder</v>
      </c>
      <c r="H107" s="13" t="str">
        <f>_xlfn.XLOOKUP([1]!Table134526_79101120212223242526[[#This Row],[Name Surname]],[1]Manpower!$C$4:$C$1048576,[1]Manpower!$H$4:$H$1048576,"")</f>
        <v>Manpower</v>
      </c>
      <c r="I107" s="11" t="str">
        <f>_xlfn.XLOOKUP([1]!Table134526_79101120212223242526[[#This Row],[Name Surname]],[1]Manpower!$C$4:$C$1048576,[1]Manpower!$H$4:$H$1048576,"")</f>
        <v>Manpower</v>
      </c>
      <c r="J107" s="13" t="s">
        <v>38</v>
      </c>
      <c r="K107" s="13" t="s">
        <v>7</v>
      </c>
      <c r="L107" s="13" t="s">
        <v>39</v>
      </c>
      <c r="M107" s="13" t="s">
        <v>18</v>
      </c>
      <c r="N107" s="14">
        <v>10</v>
      </c>
      <c r="O107" s="13"/>
      <c r="P107" s="13"/>
      <c r="Q107" s="13"/>
      <c r="R107" s="13" t="s">
        <v>60</v>
      </c>
      <c r="S107" s="15"/>
    </row>
    <row r="108" spans="1:19" x14ac:dyDescent="0.3">
      <c r="A108" s="1" t="e">
        <f>IF(C108="","",MAX($A$2:A107)+1)</f>
        <v>#REF!</v>
      </c>
      <c r="B108" s="17" t="s">
        <v>36</v>
      </c>
      <c r="C108" s="3">
        <v>46085</v>
      </c>
      <c r="D108" s="5" t="str">
        <f>_xlfn.XLOOKUP([1]!Table134526_79101120212223242526[[#This Row],[Name Surname]],[1]Manpower!$C$4:$C$1048576,[1]Manpower!$B$4:$B$1048576,"")</f>
        <v>Encogroup</v>
      </c>
      <c r="E108" s="3" t="s">
        <v>52</v>
      </c>
      <c r="F108" s="4">
        <f>_xlfn.XLOOKUP([1]!Table134526_79101120212223242526[[#This Row],[Name Surname]],[1]Manpower!C:C,[1]Manpower!D:D,)</f>
        <v>140848828</v>
      </c>
      <c r="G108" s="5" t="str">
        <f>_xlfn.XLOOKUP([1]!Table134526_79101120212223242526[[#This Row],[Name Surname]],[1]Manpower!$C$4:$C$1048576,[1]Manpower!$F$4:$F$1048576,"")</f>
        <v>Pipe Fitter</v>
      </c>
      <c r="H108" s="5" t="str">
        <f>_xlfn.XLOOKUP([1]!Table134526_79101120212223242526[[#This Row],[Name Surname]],[1]Manpower!$C$4:$C$1048576,[1]Manpower!$H$4:$H$1048576,"")</f>
        <v>Manpower</v>
      </c>
      <c r="I108" s="3" t="str">
        <f>_xlfn.XLOOKUP([1]!Table134526_79101120212223242526[[#This Row],[Name Surname]],[1]Manpower!$C$4:$C$1048576,[1]Manpower!$H$4:$H$1048576,"")</f>
        <v>Manpower</v>
      </c>
      <c r="J108" s="5" t="s">
        <v>38</v>
      </c>
      <c r="K108" s="5" t="s">
        <v>7</v>
      </c>
      <c r="L108" s="5" t="s">
        <v>39</v>
      </c>
      <c r="M108" s="5" t="s">
        <v>18</v>
      </c>
      <c r="N108" s="6">
        <v>10</v>
      </c>
      <c r="O108" s="5"/>
      <c r="P108" s="5"/>
      <c r="Q108" s="5"/>
      <c r="R108" s="5" t="s">
        <v>60</v>
      </c>
      <c r="S108" s="8"/>
    </row>
    <row r="109" spans="1:19" x14ac:dyDescent="0.3">
      <c r="A109" s="9" t="e">
        <f>IF(C109="","",MAX($A$2:A108)+1)</f>
        <v>#REF!</v>
      </c>
      <c r="B109" s="17" t="s">
        <v>36</v>
      </c>
      <c r="C109" s="11">
        <v>46085</v>
      </c>
      <c r="D109" s="13" t="str">
        <f>_xlfn.XLOOKUP([1]!Table134526_79101120212223242526[[#This Row],[Name Surname]],[1]Manpower!$C$4:$C$1048576,[1]Manpower!$B$4:$B$1048576,"")</f>
        <v>Encogroup</v>
      </c>
      <c r="E109" s="13" t="s">
        <v>53</v>
      </c>
      <c r="F109" s="12">
        <f>_xlfn.XLOOKUP([1]!Table134526_79101120212223242526[[#This Row],[Name Surname]],[1]Manpower!C:C,[1]Manpower!D:D,)</f>
        <v>140696961</v>
      </c>
      <c r="G109" s="13" t="str">
        <f>_xlfn.XLOOKUP([1]!Table134526_79101120212223242526[[#This Row],[Name Surname]],[1]Manpower!$C$4:$C$1048576,[1]Manpower!$F$4:$F$1048576,"")</f>
        <v>Assistant/Helper</v>
      </c>
      <c r="H109" s="13" t="str">
        <f>_xlfn.XLOOKUP([1]!Table134526_79101120212223242526[[#This Row],[Name Surname]],[1]Manpower!$C$4:$C$1048576,[1]Manpower!$H$4:$H$1048576,"")</f>
        <v>Manpower</v>
      </c>
      <c r="I109" s="11" t="str">
        <f>_xlfn.XLOOKUP([1]!Table134526_79101120212223242526[[#This Row],[Name Surname]],[1]Manpower!$C$4:$C$1048576,[1]Manpower!$H$4:$H$1048576,"")</f>
        <v>Manpower</v>
      </c>
      <c r="J109" s="13" t="s">
        <v>38</v>
      </c>
      <c r="K109" s="13" t="s">
        <v>7</v>
      </c>
      <c r="L109" s="13" t="s">
        <v>39</v>
      </c>
      <c r="M109" s="13" t="s">
        <v>18</v>
      </c>
      <c r="N109" s="14">
        <v>10</v>
      </c>
      <c r="O109" s="13"/>
      <c r="P109" s="13"/>
      <c r="Q109" s="13"/>
      <c r="R109" s="13" t="s">
        <v>60</v>
      </c>
      <c r="S109" s="15"/>
    </row>
    <row r="110" spans="1:19" x14ac:dyDescent="0.3">
      <c r="A110" s="1" t="e">
        <f>IF(C110="","",MAX($A$2:A109)+1)</f>
        <v>#REF!</v>
      </c>
      <c r="B110" s="17" t="s">
        <v>36</v>
      </c>
      <c r="C110" s="3">
        <v>46085</v>
      </c>
      <c r="D110" s="5" t="str">
        <f>_xlfn.XLOOKUP([1]!Table134526_79101120212223242526[[#This Row],[Name Surname]],[1]Manpower!$C$4:$C$1048576,[1]Manpower!$B$4:$B$1048576,"")</f>
        <v>Encogroup</v>
      </c>
      <c r="E110" s="5" t="s">
        <v>54</v>
      </c>
      <c r="F110" s="4">
        <f>_xlfn.XLOOKUP([1]!Table134526_79101120212223242526[[#This Row],[Name Surname]],[1]Manpower!C:C,[1]Manpower!D:D,)</f>
        <v>140623599</v>
      </c>
      <c r="G110" s="5" t="str">
        <f>_xlfn.XLOOKUP([1]!Table134526_79101120212223242526[[#This Row],[Name Surname]],[1]Manpower!$C$4:$C$1048576,[1]Manpower!$F$4:$F$1048576,"")</f>
        <v>Mechanical Supervisor</v>
      </c>
      <c r="H110" s="5" t="str">
        <f>_xlfn.XLOOKUP([1]!Table134526_79101120212223242526[[#This Row],[Name Surname]],[1]Manpower!$C$4:$C$1048576,[1]Manpower!$H$4:$H$1048576,"")</f>
        <v>Manpower</v>
      </c>
      <c r="I110" s="3" t="str">
        <f>_xlfn.XLOOKUP([1]!Table134526_79101120212223242526[[#This Row],[Name Surname]],[1]Manpower!$C$4:$C$1048576,[1]Manpower!$H$4:$H$1048576,"")</f>
        <v>Manpower</v>
      </c>
      <c r="J110" s="5" t="s">
        <v>38</v>
      </c>
      <c r="K110" s="5" t="s">
        <v>7</v>
      </c>
      <c r="L110" s="5" t="s">
        <v>39</v>
      </c>
      <c r="M110" s="5" t="s">
        <v>18</v>
      </c>
      <c r="N110" s="6">
        <v>10</v>
      </c>
      <c r="O110" s="5"/>
      <c r="P110" s="5"/>
      <c r="Q110" s="5"/>
      <c r="R110" s="5" t="s">
        <v>60</v>
      </c>
      <c r="S110" s="8"/>
    </row>
    <row r="111" spans="1:19" x14ac:dyDescent="0.3">
      <c r="A111" s="9" t="e">
        <f>IF(C111="","",MAX($A$2:A110)+1)</f>
        <v>#REF!</v>
      </c>
      <c r="B111" s="17" t="s">
        <v>36</v>
      </c>
      <c r="C111" s="11">
        <v>46085</v>
      </c>
      <c r="D111" s="13" t="str">
        <f>_xlfn.XLOOKUP([1]!Table134526_79101120212223242526[[#This Row],[Name Surname]],[1]Manpower!$C$4:$C$1048576,[1]Manpower!$B$4:$B$1048576,"")</f>
        <v>Encogroup</v>
      </c>
      <c r="E111" s="13" t="s">
        <v>55</v>
      </c>
      <c r="F111" s="12">
        <f>_xlfn.XLOOKUP([1]!Table134526_79101120212223242526[[#This Row],[Name Surname]],[1]Manpower!C:C,[1]Manpower!D:D,)</f>
        <v>140696975</v>
      </c>
      <c r="G111" s="13" t="str">
        <f>_xlfn.XLOOKUP([1]!Table134526_79101120212223242526[[#This Row],[Name Surname]],[1]Manpower!$C$4:$C$1048576,[1]Manpower!$F$4:$F$1048576,"")</f>
        <v>Assistant/Helper</v>
      </c>
      <c r="H111" s="13" t="str">
        <f>_xlfn.XLOOKUP([1]!Table134526_79101120212223242526[[#This Row],[Name Surname]],[1]Manpower!$C$4:$C$1048576,[1]Manpower!$H$4:$H$1048576,"")</f>
        <v>Manpower</v>
      </c>
      <c r="I111" s="11" t="str">
        <f>_xlfn.XLOOKUP([1]!Table134526_79101120212223242526[[#This Row],[Name Surname]],[1]Manpower!$C$4:$C$1048576,[1]Manpower!$H$4:$H$1048576,"")</f>
        <v>Manpower</v>
      </c>
      <c r="J111" s="13" t="s">
        <v>38</v>
      </c>
      <c r="K111" s="13" t="s">
        <v>7</v>
      </c>
      <c r="L111" s="13" t="s">
        <v>39</v>
      </c>
      <c r="M111" s="13" t="s">
        <v>18</v>
      </c>
      <c r="N111" s="14">
        <v>10</v>
      </c>
      <c r="O111" s="13"/>
      <c r="P111" s="13"/>
      <c r="Q111" s="13"/>
      <c r="R111" s="13" t="s">
        <v>60</v>
      </c>
      <c r="S111" s="15"/>
    </row>
    <row r="112" spans="1:19" x14ac:dyDescent="0.3">
      <c r="A112" s="1" t="e">
        <f>IF(C112="","",MAX($A$2:A111)+1)</f>
        <v>#REF!</v>
      </c>
      <c r="B112" s="17" t="s">
        <v>36</v>
      </c>
      <c r="C112" s="3">
        <v>46085</v>
      </c>
      <c r="D112" s="5" t="str">
        <f>_xlfn.XLOOKUP([1]!Table134526_79101120212223242526[[#This Row],[Name Surname]],[1]Manpower!$C$4:$C$1048576,[1]Manpower!$B$4:$B$1048576,"")</f>
        <v>Encogroup</v>
      </c>
      <c r="E112" s="5" t="s">
        <v>56</v>
      </c>
      <c r="F112" s="4">
        <f>_xlfn.XLOOKUP([1]!Table134526_79101120212223242526[[#This Row],[Name Surname]],[1]Manpower!C:C,[1]Manpower!D:D,)</f>
        <v>121937785</v>
      </c>
      <c r="G112" s="5" t="str">
        <f>_xlfn.XLOOKUP([1]!Table134526_79101120212223242526[[#This Row],[Name Surname]],[1]Manpower!$C$4:$C$1048576,[1]Manpower!$F$4:$F$1048576,"")</f>
        <v>Scaffolding Inspector</v>
      </c>
      <c r="H112" s="5" t="str">
        <f>_xlfn.XLOOKUP([1]!Table134526_79101120212223242526[[#This Row],[Name Surname]],[1]Manpower!$C$4:$C$1048576,[1]Manpower!$H$4:$H$1048576,"")</f>
        <v>Manpower</v>
      </c>
      <c r="I112" s="3" t="str">
        <f>_xlfn.XLOOKUP([1]!Table134526_79101120212223242526[[#This Row],[Name Surname]],[1]Manpower!$C$4:$C$1048576,[1]Manpower!$H$4:$H$1048576,"")</f>
        <v>Manpower</v>
      </c>
      <c r="J112" s="5" t="s">
        <v>38</v>
      </c>
      <c r="K112" s="5" t="s">
        <v>7</v>
      </c>
      <c r="L112" s="5" t="s">
        <v>39</v>
      </c>
      <c r="M112" s="5" t="s">
        <v>18</v>
      </c>
      <c r="N112" s="6">
        <v>10</v>
      </c>
      <c r="O112" s="5"/>
      <c r="P112" s="5"/>
      <c r="Q112" s="5"/>
      <c r="R112" s="5" t="s">
        <v>60</v>
      </c>
      <c r="S112" s="8"/>
    </row>
    <row r="113" spans="1:19" x14ac:dyDescent="0.3">
      <c r="A113" s="9" t="e">
        <f>IF(C113="","",MAX($A$2:A112)+1)</f>
        <v>#REF!</v>
      </c>
      <c r="B113" s="17" t="s">
        <v>36</v>
      </c>
      <c r="C113" s="11">
        <v>46085</v>
      </c>
      <c r="D113" s="13" t="str">
        <f>_xlfn.XLOOKUP([1]!Table134526_79101120212223242526[[#This Row],[Name Surname]],[1]Manpower!$C$4:$C$1048576,[1]Manpower!$B$4:$B$1048576,"")</f>
        <v xml:space="preserve">AL Omar International </v>
      </c>
      <c r="E113" s="13" t="s">
        <v>57</v>
      </c>
      <c r="F113" s="12">
        <f>_xlfn.XLOOKUP([1]!Table134526_79101120212223242526[[#This Row],[Name Surname]],[1]Manpower!C:C,[1]Manpower!D:D,)</f>
        <v>85812175</v>
      </c>
      <c r="G113" s="13" t="str">
        <f>_xlfn.XLOOKUP([1]!Table134526_79101120212223242526[[#This Row],[Name Surname]],[1]Manpower!$C$4:$C$1048576,[1]Manpower!$F$4:$F$1048576,"")</f>
        <v>Scaffolding Supervisor</v>
      </c>
      <c r="H113" s="13" t="str">
        <f>_xlfn.XLOOKUP([1]!Table134526_79101120212223242526[[#This Row],[Name Surname]],[1]Manpower!$C$4:$C$1048576,[1]Manpower!$H$4:$H$1048576,"")</f>
        <v>Sub Contactor</v>
      </c>
      <c r="I113" s="11" t="str">
        <f>_xlfn.XLOOKUP([1]!Table134526_79101120212223242526[[#This Row],[Name Surname]],[1]Manpower!$C$4:$C$1048576,[1]Manpower!$H$4:$H$1048576,"")</f>
        <v>Sub Contactor</v>
      </c>
      <c r="J113" s="13" t="s">
        <v>38</v>
      </c>
      <c r="K113" s="13" t="s">
        <v>7</v>
      </c>
      <c r="L113" s="13" t="s">
        <v>39</v>
      </c>
      <c r="M113" s="13" t="s">
        <v>18</v>
      </c>
      <c r="N113" s="14">
        <v>10</v>
      </c>
      <c r="O113" s="13"/>
      <c r="P113" s="13"/>
      <c r="Q113" s="13"/>
      <c r="R113" s="13" t="s">
        <v>60</v>
      </c>
      <c r="S113" s="15"/>
    </row>
    <row r="114" spans="1:19" x14ac:dyDescent="0.3">
      <c r="A114" s="1" t="e">
        <f>IF(C114="","",MAX($A$2:A113)+1)</f>
        <v>#REF!</v>
      </c>
      <c r="B114" s="17" t="s">
        <v>36</v>
      </c>
      <c r="C114" s="3">
        <v>46085</v>
      </c>
      <c r="D114" s="5" t="str">
        <f>_xlfn.XLOOKUP([1]!Table134526_79101120212223242526[[#This Row],[Name Surname]],[1]Manpower!$C$4:$C$1048576,[1]Manpower!$B$4:$B$1048576,"")</f>
        <v>AL Omar International TRAD AND CONT</v>
      </c>
      <c r="E114" s="3" t="s">
        <v>58</v>
      </c>
      <c r="F114" s="4">
        <f>_xlfn.XLOOKUP([1]!Table134526_79101120212223242526[[#This Row],[Name Surname]],[1]Manpower!C:C,[1]Manpower!D:D,)</f>
        <v>95335424</v>
      </c>
      <c r="G114" s="5" t="str">
        <f>_xlfn.XLOOKUP([1]!Table134526_79101120212223242526[[#This Row],[Name Surname]],[1]Manpower!$C$4:$C$1048576,[1]Manpower!$F$4:$F$1048576,"")</f>
        <v>Scaffolder</v>
      </c>
      <c r="H114" s="5" t="str">
        <f>_xlfn.XLOOKUP([1]!Table134526_79101120212223242526[[#This Row],[Name Surname]],[1]Manpower!$C$4:$C$1048576,[1]Manpower!$H$4:$H$1048576,"")</f>
        <v>Sub Contactor</v>
      </c>
      <c r="I114" s="3" t="str">
        <f>_xlfn.XLOOKUP([1]!Table134526_79101120212223242526[[#This Row],[Name Surname]],[1]Manpower!$C$4:$C$1048576,[1]Manpower!$H$4:$H$1048576,"")</f>
        <v>Sub Contactor</v>
      </c>
      <c r="J114" s="5" t="s">
        <v>38</v>
      </c>
      <c r="K114" s="5" t="s">
        <v>7</v>
      </c>
      <c r="L114" s="5" t="s">
        <v>39</v>
      </c>
      <c r="M114" s="5" t="s">
        <v>18</v>
      </c>
      <c r="N114" s="6">
        <v>10</v>
      </c>
      <c r="O114" s="5"/>
      <c r="P114" s="5"/>
      <c r="Q114" s="5"/>
      <c r="R114" s="5" t="s">
        <v>60</v>
      </c>
      <c r="S114" s="8"/>
    </row>
    <row r="115" spans="1:19" x14ac:dyDescent="0.3">
      <c r="A115" s="9" t="e">
        <f>IF(C115="","",MAX($A$2:A114)+1)</f>
        <v>#REF!</v>
      </c>
      <c r="B115" s="17" t="s">
        <v>36</v>
      </c>
      <c r="C115" s="11">
        <v>46085</v>
      </c>
      <c r="D115" s="13" t="str">
        <f>_xlfn.XLOOKUP([1]!Table134526_79101120212223242526[[#This Row],[Name Surname]],[1]Manpower!$C$4:$C$1048576,[1]Manpower!$B$4:$B$1048576,"")</f>
        <v>AL Omar International TRAD AND CONT</v>
      </c>
      <c r="E115" s="11" t="s">
        <v>59</v>
      </c>
      <c r="F115" s="12">
        <f>_xlfn.XLOOKUP([1]!Table134526_79101120212223242526[[#This Row],[Name Surname]],[1]Manpower!C:C,[1]Manpower!D:D,)</f>
        <v>96409155</v>
      </c>
      <c r="G115" s="13" t="str">
        <f>_xlfn.XLOOKUP([1]!Table134526_79101120212223242526[[#This Row],[Name Surname]],[1]Manpower!$C$4:$C$1048576,[1]Manpower!$F$4:$F$1048576,"")</f>
        <v>Scaffolder</v>
      </c>
      <c r="H115" s="13" t="str">
        <f>_xlfn.XLOOKUP([1]!Table134526_79101120212223242526[[#This Row],[Name Surname]],[1]Manpower!$C$4:$C$1048576,[1]Manpower!$H$4:$H$1048576,"")</f>
        <v>Sub Contactor</v>
      </c>
      <c r="I115" s="11" t="str">
        <f>_xlfn.XLOOKUP([1]!Table134526_79101120212223242526[[#This Row],[Name Surname]],[1]Manpower!$C$4:$C$1048576,[1]Manpower!$H$4:$H$1048576,"")</f>
        <v>Sub Contactor</v>
      </c>
      <c r="J115" s="13" t="s">
        <v>38</v>
      </c>
      <c r="K115" s="13" t="s">
        <v>7</v>
      </c>
      <c r="L115" s="13" t="s">
        <v>39</v>
      </c>
      <c r="M115" s="13" t="s">
        <v>18</v>
      </c>
      <c r="N115" s="14">
        <v>10</v>
      </c>
      <c r="O115" s="13"/>
      <c r="P115" s="13"/>
      <c r="Q115" s="13"/>
      <c r="R115" s="13" t="s">
        <v>60</v>
      </c>
      <c r="S115" s="15"/>
    </row>
    <row r="116" spans="1:19" x14ac:dyDescent="0.3">
      <c r="A116" s="1" t="e">
        <f>IF(C116="","",MAX($A$2:A115)+1)</f>
        <v>#REF!</v>
      </c>
      <c r="B116" s="2" t="s">
        <v>0</v>
      </c>
      <c r="C116" s="3">
        <v>46086</v>
      </c>
      <c r="D116" s="5" t="str">
        <f>_xlfn.XLOOKUP([1]!Table134526_79101120212223242526[[#This Row],[Name Surname]],[1]Manpower!$C$4:$C$1048576,[1]Manpower!$B$4:$B$1048576,"")</f>
        <v>AL Omar International TRAD AND CONT</v>
      </c>
      <c r="E116" s="5" t="s">
        <v>1</v>
      </c>
      <c r="F116" s="4">
        <f>_xlfn.XLOOKUP([1]!Table134526_79101120212223242526[[#This Row],[Name Surname]],[1]Manpower!C:C,[1]Manpower!D:D,)</f>
        <v>105813698</v>
      </c>
      <c r="G116" s="5" t="str">
        <f>_xlfn.XLOOKUP([1]!Table134526_79101120212223242526[[#This Row],[Name Surname]],[1]Manpower!$C$4:$C$1048576,[1]Manpower!$F$4:$F$1048576,"")</f>
        <v>Scaffolding Inspector</v>
      </c>
      <c r="H116" s="5" t="str">
        <f>_xlfn.XLOOKUP([1]!Table134526_79101120212223242526[[#This Row],[Name Surname]],[1]Manpower!$C$4:$C$1048576,[1]Manpower!$H$4:$H$1048576,"")</f>
        <v>Sub Contactor</v>
      </c>
      <c r="I116" s="3" t="str">
        <f>_xlfn.XLOOKUP([1]!Table134526_79101120212223242526[[#This Row],[Name Surname]],[1]Manpower!$C$4:$C$1048576,[1]Manpower!$H$4:$H$1048576,"")</f>
        <v>Sub Contactor</v>
      </c>
      <c r="J116" s="5" t="s">
        <v>2</v>
      </c>
      <c r="K116" s="5" t="s">
        <v>3</v>
      </c>
      <c r="L116" s="5" t="s">
        <v>4</v>
      </c>
      <c r="M116" s="5" t="s">
        <v>18</v>
      </c>
      <c r="N116" s="6">
        <v>10</v>
      </c>
      <c r="O116" s="5"/>
      <c r="P116" s="5"/>
      <c r="Q116" s="5"/>
      <c r="R116" s="5" t="s">
        <v>60</v>
      </c>
      <c r="S116" s="8"/>
    </row>
    <row r="117" spans="1:19" x14ac:dyDescent="0.3">
      <c r="A117" s="9" t="e">
        <f>IF(C117="","",MAX($A$2:A116)+1)</f>
        <v>#REF!</v>
      </c>
      <c r="B117" s="10" t="s">
        <v>0</v>
      </c>
      <c r="C117" s="11">
        <v>46086</v>
      </c>
      <c r="D117" s="13" t="str">
        <f>_xlfn.XLOOKUP([1]!Table134526_79101120212223242526[[#This Row],[Name Surname]],[1]Manpower!$C$4:$C$1048576,[1]Manpower!$B$4:$B$1048576,"")</f>
        <v>AL Saif &amp; Al QALLM ENT LLC</v>
      </c>
      <c r="E117" s="11" t="s">
        <v>61</v>
      </c>
      <c r="F117" s="12">
        <f>_xlfn.XLOOKUP([1]!Table134526_79101120212223242526[[#This Row],[Name Surname]],[1]Manpower!C:C,[1]Manpower!D:D,)</f>
        <v>135340657</v>
      </c>
      <c r="G117" s="13" t="str">
        <f>_xlfn.XLOOKUP([1]!Table134526_79101120212223242526[[#This Row],[Name Surname]],[1]Manpower!$C$4:$C$1048576,[1]Manpower!$F$4:$F$1048576,"")</f>
        <v>Forklift Operator</v>
      </c>
      <c r="H117" s="13" t="str">
        <f>_xlfn.XLOOKUP([1]!Table134526_79101120212223242526[[#This Row],[Name Surname]],[1]Manpower!$C$4:$C$1048576,[1]Manpower!$H$4:$H$1048576,"")</f>
        <v>Sub Contactor</v>
      </c>
      <c r="I117" s="11" t="str">
        <f>_xlfn.XLOOKUP([1]!Table134526_79101120212223242526[[#This Row],[Name Surname]],[1]Manpower!$C$4:$C$1048576,[1]Manpower!$H$4:$H$1048576,"")</f>
        <v>Sub Contactor</v>
      </c>
      <c r="J117" s="13" t="s">
        <v>9</v>
      </c>
      <c r="K117" s="13" t="s">
        <v>7</v>
      </c>
      <c r="L117" s="13" t="s">
        <v>10</v>
      </c>
      <c r="M117" s="13" t="s">
        <v>18</v>
      </c>
      <c r="N117" s="14">
        <v>10</v>
      </c>
      <c r="O117" s="13"/>
      <c r="P117" s="13"/>
      <c r="Q117" s="13"/>
      <c r="R117" s="13" t="s">
        <v>60</v>
      </c>
      <c r="S117" s="15"/>
    </row>
    <row r="118" spans="1:19" x14ac:dyDescent="0.3">
      <c r="A118" s="1" t="e">
        <f>IF(C118="","",MAX($A$2:A117)+1)</f>
        <v>#REF!</v>
      </c>
      <c r="B118" s="10" t="s">
        <v>0</v>
      </c>
      <c r="C118" s="3">
        <v>46086</v>
      </c>
      <c r="D118" s="5" t="str">
        <f>_xlfn.XLOOKUP([1]!Table134526_79101120212223242526[[#This Row],[Name Surname]],[1]Manpower!$C$4:$C$1048576,[1]Manpower!$B$4:$B$1048576,"")</f>
        <v>Encogroup</v>
      </c>
      <c r="E118" s="5" t="s">
        <v>8</v>
      </c>
      <c r="F118" s="4">
        <f>_xlfn.XLOOKUP([1]!Table134526_79101120212223242526[[#This Row],[Name Surname]],[1]Manpower!C:C,[1]Manpower!D:D,)</f>
        <v>140844586</v>
      </c>
      <c r="G118" s="5" t="str">
        <f>_xlfn.XLOOKUP([1]!Table134526_79101120212223242526[[#This Row],[Name Surname]],[1]Manpower!$C$4:$C$1048576,[1]Manpower!$F$4:$F$1048576,"")</f>
        <v>Assistant/Helper</v>
      </c>
      <c r="H118" s="5" t="str">
        <f>_xlfn.XLOOKUP([1]!Table134526_79101120212223242526[[#This Row],[Name Surname]],[1]Manpower!$C$4:$C$1048576,[1]Manpower!$H$4:$H$1048576,"")</f>
        <v>Manpower</v>
      </c>
      <c r="I118" s="3" t="str">
        <f>_xlfn.XLOOKUP([1]!Table134526_79101120212223242526[[#This Row],[Name Surname]],[1]Manpower!$C$4:$C$1048576,[1]Manpower!$H$4:$H$1048576,"")</f>
        <v>Manpower</v>
      </c>
      <c r="J118" s="5" t="s">
        <v>9</v>
      </c>
      <c r="K118" s="5" t="s">
        <v>7</v>
      </c>
      <c r="L118" s="5" t="s">
        <v>10</v>
      </c>
      <c r="M118" s="5" t="s">
        <v>18</v>
      </c>
      <c r="N118" s="6">
        <v>10</v>
      </c>
      <c r="O118" s="5"/>
      <c r="P118" s="5"/>
      <c r="Q118" s="5"/>
      <c r="R118" s="5" t="s">
        <v>60</v>
      </c>
      <c r="S118" s="8"/>
    </row>
    <row r="119" spans="1:19" x14ac:dyDescent="0.3">
      <c r="A119" s="9" t="e">
        <f>IF(C119="","",MAX($A$2:A118)+1)</f>
        <v>#REF!</v>
      </c>
      <c r="B119" s="10" t="s">
        <v>0</v>
      </c>
      <c r="C119" s="11">
        <v>46086</v>
      </c>
      <c r="D119" s="13" t="str">
        <f>_xlfn.XLOOKUP([1]!Table134526_79101120212223242526[[#This Row],[Name Surname]],[1]Manpower!$C$4:$C$1048576,[1]Manpower!$B$4:$B$1048576,"")</f>
        <v>AL Omar International TRAD AND CONT</v>
      </c>
      <c r="E119" s="13" t="s">
        <v>15</v>
      </c>
      <c r="F119" s="12">
        <f>_xlfn.XLOOKUP([1]!Table134526_79101120212223242526[[#This Row],[Name Surname]],[1]Manpower!C:C,[1]Manpower!D:D,)</f>
        <v>106093463</v>
      </c>
      <c r="G119" s="13" t="str">
        <f>_xlfn.XLOOKUP([1]!Table134526_79101120212223242526[[#This Row],[Name Surname]],[1]Manpower!$C$4:$C$1048576,[1]Manpower!$F$4:$F$1048576,"")</f>
        <v>RIgger</v>
      </c>
      <c r="H119" s="13" t="str">
        <f>_xlfn.XLOOKUP([1]!Table134526_79101120212223242526[[#This Row],[Name Surname]],[1]Manpower!$C$4:$C$1048576,[1]Manpower!$H$4:$H$1048576,"")</f>
        <v>Sub Contactor</v>
      </c>
      <c r="I119" s="11" t="str">
        <f>_xlfn.XLOOKUP([1]!Table134526_79101120212223242526[[#This Row],[Name Surname]],[1]Manpower!$C$4:$C$1048576,[1]Manpower!$H$4:$H$1048576,"")</f>
        <v>Sub Contactor</v>
      </c>
      <c r="J119" s="13" t="s">
        <v>9</v>
      </c>
      <c r="K119" s="13" t="s">
        <v>7</v>
      </c>
      <c r="L119" s="13" t="s">
        <v>10</v>
      </c>
      <c r="M119" s="13" t="s">
        <v>18</v>
      </c>
      <c r="N119" s="14">
        <v>10</v>
      </c>
      <c r="O119" s="13"/>
      <c r="P119" s="13"/>
      <c r="Q119" s="13"/>
      <c r="R119" s="13" t="s">
        <v>60</v>
      </c>
      <c r="S119" s="15"/>
    </row>
    <row r="120" spans="1:19" x14ac:dyDescent="0.3">
      <c r="A120" s="1" t="e">
        <f>IF(C120="","",MAX($A$2:A119)+1)</f>
        <v>#REF!</v>
      </c>
      <c r="B120" s="10" t="s">
        <v>0</v>
      </c>
      <c r="C120" s="3">
        <v>46086</v>
      </c>
      <c r="D120" s="5" t="str">
        <f>_xlfn.XLOOKUP([1]!Table134526_79101120212223242526[[#This Row],[Name Surname]],[1]Manpower!$C$4:$C$1048576,[1]Manpower!$B$4:$B$1048576,"")</f>
        <v>Al Asrah Al Mumayaza Trad</v>
      </c>
      <c r="E120" s="5" t="s">
        <v>17</v>
      </c>
      <c r="F120" s="4" t="e">
        <f>_xlfn.XLOOKUP([1]!Table134526_79101120212223242526[[#This Row],[Name Surname]],[1]Manpower!C:C,[1]Manpower!D:D,)</f>
        <v>#N/A</v>
      </c>
      <c r="G120" s="5" t="str">
        <f>_xlfn.XLOOKUP([1]!Table134526_79101120212223242526[[#This Row],[Name Surname]],[1]Manpower!$C$4:$C$1048576,[1]Manpower!$F$4:$F$1048576,"")</f>
        <v>PICK-UP</v>
      </c>
      <c r="H120" s="5" t="str">
        <f>_xlfn.XLOOKUP([1]!Table134526_79101120212223242526[[#This Row],[Name Surname]],[1]Manpower!$C$4:$C$1048576,[1]Manpower!$H$4:$H$1048576,"")</f>
        <v>Equipment</v>
      </c>
      <c r="I120" s="3" t="str">
        <f>_xlfn.XLOOKUP([1]!Table134526_79101120212223242526[[#This Row],[Name Surname]],[1]Manpower!$C$4:$C$1048576,[1]Manpower!$H$4:$H$1048576,"")</f>
        <v>Equipment</v>
      </c>
      <c r="J120" s="5" t="s">
        <v>9</v>
      </c>
      <c r="K120" s="5" t="s">
        <v>7</v>
      </c>
      <c r="L120" s="5" t="s">
        <v>10</v>
      </c>
      <c r="M120" s="5" t="s">
        <v>18</v>
      </c>
      <c r="N120" s="6">
        <v>10</v>
      </c>
      <c r="O120" s="5"/>
      <c r="P120" s="5"/>
      <c r="Q120" s="5"/>
      <c r="R120" s="5" t="s">
        <v>60</v>
      </c>
      <c r="S120" s="8"/>
    </row>
    <row r="121" spans="1:19" x14ac:dyDescent="0.3">
      <c r="A121" s="9" t="e">
        <f>IF(C121="","",MAX($A$2:A120)+1)</f>
        <v>#REF!</v>
      </c>
      <c r="B121" s="10" t="s">
        <v>0</v>
      </c>
      <c r="C121" s="11">
        <v>46086</v>
      </c>
      <c r="D121" s="11" t="str">
        <f>_xlfn.XLOOKUP([1]!Table134526_79101120212223242526[[#This Row],[Name Surname]],[1]Manpower!$C$4:$C$1048576,[1]Manpower!$B$4:$B$1048576,"")</f>
        <v>Al Asrah Al Mumayaza Trad</v>
      </c>
      <c r="E121" s="11" t="s">
        <v>20</v>
      </c>
      <c r="F121" s="12" t="e">
        <f>_xlfn.XLOOKUP([1]!Table134526_79101120212223242526[[#This Row],[Name Surname]],[1]Manpower!C:C,[1]Manpower!D:D,)</f>
        <v>#N/A</v>
      </c>
      <c r="G121" s="11" t="str">
        <f>_xlfn.XLOOKUP([1]!Table134526_79101120212223242526[[#This Row],[Name Surname]],[1]Manpower!$C$4:$C$1048576,[1]Manpower!$F$4:$F$1048576,"")</f>
        <v>PICK-UP</v>
      </c>
      <c r="H121" s="11" t="str">
        <f>_xlfn.XLOOKUP([1]!Table134526_79101120212223242526[[#This Row],[Name Surname]],[1]Manpower!$C$4:$C$1048576,[1]Manpower!$H$4:$H$1048576,"")</f>
        <v>Equipment</v>
      </c>
      <c r="I121" s="11" t="str">
        <f>_xlfn.XLOOKUP([1]!Table134526_79101120212223242526[[#This Row],[Name Surname]],[1]Manpower!$C$4:$C$1048576,[1]Manpower!$H$4:$H$1048576,"")</f>
        <v>Equipment</v>
      </c>
      <c r="J121" s="13" t="s">
        <v>9</v>
      </c>
      <c r="K121" s="13" t="s">
        <v>7</v>
      </c>
      <c r="L121" s="13" t="s">
        <v>10</v>
      </c>
      <c r="M121" s="13" t="s">
        <v>18</v>
      </c>
      <c r="N121" s="14">
        <v>10</v>
      </c>
      <c r="O121" s="13"/>
      <c r="P121" s="13"/>
      <c r="Q121" s="13"/>
      <c r="R121" s="13" t="s">
        <v>60</v>
      </c>
      <c r="S121" s="15"/>
    </row>
    <row r="122" spans="1:19" x14ac:dyDescent="0.3">
      <c r="A122" s="1" t="e">
        <f>IF(C122="","",MAX($A$2:A121)+1)</f>
        <v>#REF!</v>
      </c>
      <c r="B122" s="16" t="s">
        <v>21</v>
      </c>
      <c r="C122" s="3">
        <v>46086</v>
      </c>
      <c r="D122" s="5" t="str">
        <f>_xlfn.XLOOKUP([1]!Table134526_79101120212223242526[[#This Row],[Name Surname]],[1]Manpower!$C$4:$C$1048576,[1]Manpower!$B$4:$B$1048576,"")</f>
        <v>Al Asrah Al Mumayaza Trad</v>
      </c>
      <c r="E122" s="5" t="s">
        <v>22</v>
      </c>
      <c r="F122" s="4" t="e">
        <f>_xlfn.XLOOKUP([1]!Table134526_79101120212223242526[[#This Row],[Name Surname]],[1]Manpower!C:C,[1]Manpower!D:D,)</f>
        <v>#N/A</v>
      </c>
      <c r="G122" s="5" t="str">
        <f>_xlfn.XLOOKUP([1]!Table134526_79101120212223242526[[#This Row],[Name Surname]],[1]Manpower!$C$4:$C$1048576,[1]Manpower!$F$4:$F$1048576,"")</f>
        <v>PICK-UP</v>
      </c>
      <c r="H122" s="5" t="str">
        <f>_xlfn.XLOOKUP([1]!Table134526_79101120212223242526[[#This Row],[Name Surname]],[1]Manpower!$C$4:$C$1048576,[1]Manpower!$H$4:$H$1048576,"")</f>
        <v>Equipment</v>
      </c>
      <c r="I122" s="3" t="str">
        <f>_xlfn.XLOOKUP([1]!Table134526_79101120212223242526[[#This Row],[Name Surname]],[1]Manpower!$C$4:$C$1048576,[1]Manpower!$H$4:$H$1048576,"")</f>
        <v>Equipment</v>
      </c>
      <c r="J122" s="5" t="s">
        <v>23</v>
      </c>
      <c r="K122" s="5" t="s">
        <v>24</v>
      </c>
      <c r="L122" s="5" t="s">
        <v>25</v>
      </c>
      <c r="M122" s="5" t="s">
        <v>18</v>
      </c>
      <c r="N122" s="6">
        <v>10</v>
      </c>
      <c r="O122" s="5"/>
      <c r="P122" s="5"/>
      <c r="Q122" s="5"/>
      <c r="R122" s="5" t="s">
        <v>60</v>
      </c>
      <c r="S122" s="8"/>
    </row>
    <row r="123" spans="1:19" x14ac:dyDescent="0.3">
      <c r="A123" s="9" t="e">
        <f>IF(C123="","",MAX($A$2:A122)+1)</f>
        <v>#REF!</v>
      </c>
      <c r="B123" s="16" t="s">
        <v>21</v>
      </c>
      <c r="C123" s="11">
        <v>46086</v>
      </c>
      <c r="D123" s="13" t="str">
        <f>_xlfn.XLOOKUP([1]!Table134526_79101120212223242526[[#This Row],[Name Surname]],[1]Manpower!$C$4:$C$1048576,[1]Manpower!$B$4:$B$1048576,"")</f>
        <v>Al Asrah Al Mumayaza Trad</v>
      </c>
      <c r="E123" s="13" t="s">
        <v>28</v>
      </c>
      <c r="F123" s="12" t="e">
        <f>_xlfn.XLOOKUP([1]!Table134526_79101120212223242526[[#This Row],[Name Surname]],[1]Manpower!C:C,[1]Manpower!D:D,)</f>
        <v>#N/A</v>
      </c>
      <c r="G123" s="13" t="str">
        <f>_xlfn.XLOOKUP([1]!Table134526_79101120212223242526[[#This Row],[Name Surname]],[1]Manpower!$C$4:$C$1048576,[1]Manpower!$F$4:$F$1048576,"")</f>
        <v>PICK-UP</v>
      </c>
      <c r="H123" s="13" t="str">
        <f>_xlfn.XLOOKUP([1]!Table134526_79101120212223242526[[#This Row],[Name Surname]],[1]Manpower!$C$4:$C$1048576,[1]Manpower!$H$4:$H$1048576,"")</f>
        <v>Equipment</v>
      </c>
      <c r="I123" s="11" t="str">
        <f>_xlfn.XLOOKUP([1]!Table134526_79101120212223242526[[#This Row],[Name Surname]],[1]Manpower!$C$4:$C$1048576,[1]Manpower!$H$4:$H$1048576,"")</f>
        <v>Equipment</v>
      </c>
      <c r="J123" s="13" t="s">
        <v>23</v>
      </c>
      <c r="K123" s="13" t="s">
        <v>24</v>
      </c>
      <c r="L123" s="13" t="s">
        <v>25</v>
      </c>
      <c r="M123" s="13" t="s">
        <v>18</v>
      </c>
      <c r="N123" s="14">
        <v>10</v>
      </c>
      <c r="O123" s="13"/>
      <c r="P123" s="13"/>
      <c r="Q123" s="13"/>
      <c r="R123" s="13" t="s">
        <v>60</v>
      </c>
      <c r="S123" s="15"/>
    </row>
    <row r="124" spans="1:19" x14ac:dyDescent="0.3">
      <c r="A124" s="1" t="e">
        <f>IF(C124="","",MAX($A$2:A123)+1)</f>
        <v>#REF!</v>
      </c>
      <c r="B124" s="16" t="s">
        <v>21</v>
      </c>
      <c r="C124" s="3">
        <v>46086</v>
      </c>
      <c r="D124" s="5" t="str">
        <f>_xlfn.XLOOKUP([1]!Table134526_79101120212223242526[[#This Row],[Name Surname]],[1]Manpower!$C$4:$C$1048576,[1]Manpower!$B$4:$B$1048576,"")</f>
        <v>Encogroup</v>
      </c>
      <c r="E124" s="5" t="s">
        <v>31</v>
      </c>
      <c r="F124" s="4">
        <f>_xlfn.XLOOKUP([1]!Table134526_79101120212223242526[[#This Row],[Name Surname]],[1]Manpower!C:C,[1]Manpower!D:D,)</f>
        <v>140805592</v>
      </c>
      <c r="G124" s="5" t="str">
        <f>_xlfn.XLOOKUP([1]!Table134526_79101120212223242526[[#This Row],[Name Surname]],[1]Manpower!$C$4:$C$1048576,[1]Manpower!$F$4:$F$1048576,"")</f>
        <v>Assistant/Helper</v>
      </c>
      <c r="H124" s="5" t="str">
        <f>_xlfn.XLOOKUP([1]!Table134526_79101120212223242526[[#This Row],[Name Surname]],[1]Manpower!$C$4:$C$1048576,[1]Manpower!$H$4:$H$1048576,"")</f>
        <v>Manpower</v>
      </c>
      <c r="I124" s="3" t="str">
        <f>_xlfn.XLOOKUP([1]!Table134526_79101120212223242526[[#This Row],[Name Surname]],[1]Manpower!$C$4:$C$1048576,[1]Manpower!$H$4:$H$1048576,"")</f>
        <v>Manpower</v>
      </c>
      <c r="J124" s="5" t="s">
        <v>23</v>
      </c>
      <c r="K124" s="5" t="s">
        <v>24</v>
      </c>
      <c r="L124" s="5" t="s">
        <v>25</v>
      </c>
      <c r="M124" s="5" t="s">
        <v>18</v>
      </c>
      <c r="N124" s="6">
        <v>10</v>
      </c>
      <c r="O124" s="5"/>
      <c r="P124" s="5"/>
      <c r="Q124" s="5"/>
      <c r="R124" s="5" t="s">
        <v>60</v>
      </c>
      <c r="S124" s="8"/>
    </row>
    <row r="125" spans="1:19" x14ac:dyDescent="0.3">
      <c r="A125" s="9" t="e">
        <f>IF(C125="","",MAX($A$2:A124)+1)</f>
        <v>#REF!</v>
      </c>
      <c r="B125" s="16" t="s">
        <v>21</v>
      </c>
      <c r="C125" s="11">
        <v>46086</v>
      </c>
      <c r="D125" s="13" t="str">
        <f>_xlfn.XLOOKUP([1]!Table134526_79101120212223242526[[#This Row],[Name Surname]],[1]Manpower!$C$4:$C$1048576,[1]Manpower!$B$4:$B$1048576,"")</f>
        <v>Encogroup</v>
      </c>
      <c r="E125" s="13" t="s">
        <v>32</v>
      </c>
      <c r="F125" s="12">
        <f>_xlfn.XLOOKUP([1]!Table134526_79101120212223242526[[#This Row],[Name Surname]],[1]Manpower!C:C,[1]Manpower!D:D,)</f>
        <v>140683371</v>
      </c>
      <c r="G125" s="13" t="str">
        <f>_xlfn.XLOOKUP([1]!Table134526_79101120212223242526[[#This Row],[Name Surname]],[1]Manpower!$C$4:$C$1048576,[1]Manpower!$F$4:$F$1048576,"")</f>
        <v>Rigger</v>
      </c>
      <c r="H125" s="13" t="str">
        <f>_xlfn.XLOOKUP([1]!Table134526_79101120212223242526[[#This Row],[Name Surname]],[1]Manpower!$C$4:$C$1048576,[1]Manpower!$H$4:$H$1048576,"")</f>
        <v>Manpower</v>
      </c>
      <c r="I125" s="11" t="str">
        <f>_xlfn.XLOOKUP([1]!Table134526_79101120212223242526[[#This Row],[Name Surname]],[1]Manpower!$C$4:$C$1048576,[1]Manpower!$H$4:$H$1048576,"")</f>
        <v>Manpower</v>
      </c>
      <c r="J125" s="13" t="s">
        <v>23</v>
      </c>
      <c r="K125" s="13" t="s">
        <v>24</v>
      </c>
      <c r="L125" s="13" t="s">
        <v>25</v>
      </c>
      <c r="M125" s="13" t="s">
        <v>18</v>
      </c>
      <c r="N125" s="14">
        <v>10</v>
      </c>
      <c r="O125" s="13"/>
      <c r="P125" s="13"/>
      <c r="Q125" s="13"/>
      <c r="R125" s="13" t="s">
        <v>60</v>
      </c>
      <c r="S125" s="15"/>
    </row>
    <row r="126" spans="1:19" x14ac:dyDescent="0.3">
      <c r="A126" s="1" t="e">
        <f>IF(C126="","",MAX($A$2:A124)+1)</f>
        <v>#REF!</v>
      </c>
      <c r="B126" s="16" t="s">
        <v>21</v>
      </c>
      <c r="C126" s="3">
        <v>46086</v>
      </c>
      <c r="D126" s="5" t="str">
        <f>_xlfn.XLOOKUP([1]!Table134526_79101120212223242526[[#This Row],[Name Surname]],[1]Manpower!$C$4:$C$1048576,[1]Manpower!$B$4:$B$1048576,"")</f>
        <v>Encogroup</v>
      </c>
      <c r="E126" s="3" t="s">
        <v>34</v>
      </c>
      <c r="F126" s="4">
        <f>_xlfn.XLOOKUP([1]!Table134526_79101120212223242526[[#This Row],[Name Surname]],[1]Manpower!C:C,[1]Manpower!D:D,)</f>
        <v>140844572</v>
      </c>
      <c r="G126" s="5" t="str">
        <f>_xlfn.XLOOKUP([1]!Table134526_79101120212223242526[[#This Row],[Name Surname]],[1]Manpower!$C$4:$C$1048576,[1]Manpower!$F$4:$F$1048576,"")</f>
        <v>Assistant/Helper</v>
      </c>
      <c r="H126" s="5" t="str">
        <f>_xlfn.XLOOKUP([1]!Table134526_79101120212223242526[[#This Row],[Name Surname]],[1]Manpower!$C$4:$C$1048576,[1]Manpower!$H$4:$H$1048576,"")</f>
        <v>Manpower</v>
      </c>
      <c r="I126" s="3" t="str">
        <f>_xlfn.XLOOKUP([1]!Table134526_79101120212223242526[[#This Row],[Name Surname]],[1]Manpower!$C$4:$C$1048576,[1]Manpower!$H$4:$H$1048576,"")</f>
        <v>Manpower</v>
      </c>
      <c r="J126" s="5" t="s">
        <v>23</v>
      </c>
      <c r="K126" s="5" t="s">
        <v>24</v>
      </c>
      <c r="L126" s="5" t="s">
        <v>25</v>
      </c>
      <c r="M126" s="5" t="s">
        <v>18</v>
      </c>
      <c r="N126" s="6">
        <v>10</v>
      </c>
      <c r="O126" s="5"/>
      <c r="P126" s="5"/>
      <c r="Q126" s="5"/>
      <c r="R126" s="5" t="s">
        <v>60</v>
      </c>
      <c r="S126" s="8"/>
    </row>
    <row r="127" spans="1:19" x14ac:dyDescent="0.3">
      <c r="A127" s="9" t="e">
        <f>IF(C127="","",MAX($A$2:A126)+1)</f>
        <v>#REF!</v>
      </c>
      <c r="B127" s="17" t="s">
        <v>36</v>
      </c>
      <c r="C127" s="11">
        <v>46086</v>
      </c>
      <c r="D127" s="13" t="str">
        <f>_xlfn.XLOOKUP([1]!Table134526_79101120212223242526[[#This Row],[Name Surname]],[1]Manpower!$C$4:$C$1048576,[1]Manpower!$B$4:$B$1048576,"")</f>
        <v>Encogroup</v>
      </c>
      <c r="E127" s="13" t="s">
        <v>37</v>
      </c>
      <c r="F127" s="12">
        <f>_xlfn.XLOOKUP([1]!Table134526_79101120212223242526[[#This Row],[Name Surname]],[1]Manpower!C:C,[1]Manpower!D:D,)</f>
        <v>140844848</v>
      </c>
      <c r="G127" s="13" t="str">
        <f>_xlfn.XLOOKUP([1]!Table134526_79101120212223242526[[#This Row],[Name Surname]],[1]Manpower!$C$4:$C$1048576,[1]Manpower!$F$4:$F$1048576,"")</f>
        <v>Assistant/Helper</v>
      </c>
      <c r="H127" s="13" t="str">
        <f>_xlfn.XLOOKUP([1]!Table134526_79101120212223242526[[#This Row],[Name Surname]],[1]Manpower!$C$4:$C$1048576,[1]Manpower!$H$4:$H$1048576,"")</f>
        <v>Manpower</v>
      </c>
      <c r="I127" s="11" t="str">
        <f>_xlfn.XLOOKUP([1]!Table134526_79101120212223242526[[#This Row],[Name Surname]],[1]Manpower!$C$4:$C$1048576,[1]Manpower!$H$4:$H$1048576,"")</f>
        <v>Manpower</v>
      </c>
      <c r="J127" s="13" t="s">
        <v>38</v>
      </c>
      <c r="K127" s="13" t="s">
        <v>7</v>
      </c>
      <c r="L127" s="13" t="s">
        <v>39</v>
      </c>
      <c r="M127" s="13" t="s">
        <v>18</v>
      </c>
      <c r="N127" s="14">
        <v>10</v>
      </c>
      <c r="O127" s="13"/>
      <c r="P127" s="13"/>
      <c r="Q127" s="13"/>
      <c r="R127" s="13" t="s">
        <v>60</v>
      </c>
      <c r="S127" s="15"/>
    </row>
    <row r="128" spans="1:19" x14ac:dyDescent="0.3">
      <c r="A128" s="1" t="e">
        <f>IF(C128="","",MAX($A$2:A127)+1)</f>
        <v>#REF!</v>
      </c>
      <c r="B128" s="17" t="s">
        <v>36</v>
      </c>
      <c r="C128" s="3">
        <v>46086</v>
      </c>
      <c r="D128" s="5" t="str">
        <f>_xlfn.XLOOKUP([1]!Table134526_79101120212223242526[[#This Row],[Name Surname]],[1]Manpower!$C$4:$C$1048576,[1]Manpower!$B$4:$B$1048576,"")</f>
        <v>Encogroup</v>
      </c>
      <c r="E128" s="5" t="s">
        <v>40</v>
      </c>
      <c r="F128" s="4">
        <f>_xlfn.XLOOKUP([1]!Table134526_79101120212223242526[[#This Row],[Name Surname]],[1]Manpower!C:C,[1]Manpower!D:D,)</f>
        <v>141359216</v>
      </c>
      <c r="G128" s="5" t="str">
        <f>_xlfn.XLOOKUP([1]!Table134526_79101120212223242526[[#This Row],[Name Surname]],[1]Manpower!$C$4:$C$1048576,[1]Manpower!$F$4:$F$1048576,"")</f>
        <v>Electrician</v>
      </c>
      <c r="H128" s="5" t="str">
        <f>_xlfn.XLOOKUP([1]!Table134526_79101120212223242526[[#This Row],[Name Surname]],[1]Manpower!$C$4:$C$1048576,[1]Manpower!$H$4:$H$1048576,"")</f>
        <v>Manpower</v>
      </c>
      <c r="I128" s="3" t="str">
        <f>_xlfn.XLOOKUP([1]!Table134526_79101120212223242526[[#This Row],[Name Surname]],[1]Manpower!$C$4:$C$1048576,[1]Manpower!$H$4:$H$1048576,"")</f>
        <v>Manpower</v>
      </c>
      <c r="J128" s="5" t="s">
        <v>38</v>
      </c>
      <c r="K128" s="5" t="s">
        <v>7</v>
      </c>
      <c r="L128" s="5" t="s">
        <v>39</v>
      </c>
      <c r="M128" s="5" t="s">
        <v>18</v>
      </c>
      <c r="N128" s="6">
        <v>10</v>
      </c>
      <c r="O128" s="5"/>
      <c r="P128" s="5"/>
      <c r="Q128" s="5"/>
      <c r="R128" s="5" t="s">
        <v>60</v>
      </c>
      <c r="S128" s="8"/>
    </row>
    <row r="129" spans="1:19" x14ac:dyDescent="0.3">
      <c r="A129" s="9" t="e">
        <f>IF(C129="","",MAX($A$2:A127)+1)</f>
        <v>#REF!</v>
      </c>
      <c r="B129" s="17" t="s">
        <v>36</v>
      </c>
      <c r="C129" s="11">
        <v>46086</v>
      </c>
      <c r="D129" s="13" t="str">
        <f>_xlfn.XLOOKUP([1]!Table134526_79101120212223242526[[#This Row],[Name Surname]],[1]Manpower!$C$4:$C$1048576,[1]Manpower!$B$4:$B$1048576,"")</f>
        <v>Encogroup</v>
      </c>
      <c r="E129" s="13" t="s">
        <v>41</v>
      </c>
      <c r="F129" s="12">
        <f>_xlfn.XLOOKUP([1]!Table134526_79101120212223242526[[#This Row],[Name Surname]],[1]Manpower!C:C,[1]Manpower!D:D,)</f>
        <v>140683399</v>
      </c>
      <c r="G129" s="13" t="str">
        <f>_xlfn.XLOOKUP([1]!Table134526_79101120212223242526[[#This Row],[Name Surname]],[1]Manpower!$C$4:$C$1048576,[1]Manpower!$F$4:$F$1048576,"")</f>
        <v>Rigger</v>
      </c>
      <c r="H129" s="13" t="str">
        <f>_xlfn.XLOOKUP([1]!Table134526_79101120212223242526[[#This Row],[Name Surname]],[1]Manpower!$C$4:$C$1048576,[1]Manpower!$H$4:$H$1048576,"")</f>
        <v>Manpower</v>
      </c>
      <c r="I129" s="11" t="str">
        <f>_xlfn.XLOOKUP([1]!Table134526_79101120212223242526[[#This Row],[Name Surname]],[1]Manpower!$C$4:$C$1048576,[1]Manpower!$H$4:$H$1048576,"")</f>
        <v>Manpower</v>
      </c>
      <c r="J129" s="13" t="s">
        <v>38</v>
      </c>
      <c r="K129" s="13" t="s">
        <v>7</v>
      </c>
      <c r="L129" s="13" t="s">
        <v>39</v>
      </c>
      <c r="M129" s="13" t="s">
        <v>18</v>
      </c>
      <c r="N129" s="14">
        <v>10</v>
      </c>
      <c r="O129" s="13"/>
      <c r="P129" s="13"/>
      <c r="Q129" s="13"/>
      <c r="R129" s="13" t="s">
        <v>60</v>
      </c>
      <c r="S129" s="15"/>
    </row>
    <row r="130" spans="1:19" x14ac:dyDescent="0.3">
      <c r="A130" s="1" t="e">
        <f>IF(C130="","",MAX($A$2:A129)+1)</f>
        <v>#REF!</v>
      </c>
      <c r="B130" s="17" t="s">
        <v>36</v>
      </c>
      <c r="C130" s="3">
        <v>46086</v>
      </c>
      <c r="D130" s="5" t="str">
        <f>_xlfn.XLOOKUP([1]!Table134526_79101120212223242526[[#This Row],[Name Surname]],[1]Manpower!$C$4:$C$1048576,[1]Manpower!$B$4:$B$1048576,"")</f>
        <v>Encogroup</v>
      </c>
      <c r="E130" s="5" t="s">
        <v>43</v>
      </c>
      <c r="F130" s="4">
        <f>_xlfn.XLOOKUP([1]!Table134526_79101120212223242526[[#This Row],[Name Surname]],[1]Manpower!C:C,[1]Manpower!D:D,)</f>
        <v>141365164</v>
      </c>
      <c r="G130" s="5" t="str">
        <f>_xlfn.XLOOKUP([1]!Table134526_79101120212223242526[[#This Row],[Name Surname]],[1]Manpower!$C$4:$C$1048576,[1]Manpower!$F$4:$F$1048576,"")</f>
        <v>Helper</v>
      </c>
      <c r="H130" s="5" t="str">
        <f>_xlfn.XLOOKUP([1]!Table134526_79101120212223242526[[#This Row],[Name Surname]],[1]Manpower!$C$4:$C$1048576,[1]Manpower!$H$4:$H$1048576,"")</f>
        <v>Manpower</v>
      </c>
      <c r="I130" s="3" t="str">
        <f>_xlfn.XLOOKUP([1]!Table134526_79101120212223242526[[#This Row],[Name Surname]],[1]Manpower!$C$4:$C$1048576,[1]Manpower!$H$4:$H$1048576,"")</f>
        <v>Manpower</v>
      </c>
      <c r="J130" s="5" t="s">
        <v>38</v>
      </c>
      <c r="K130" s="5" t="s">
        <v>7</v>
      </c>
      <c r="L130" s="5" t="s">
        <v>39</v>
      </c>
      <c r="M130" s="5" t="s">
        <v>18</v>
      </c>
      <c r="N130" s="6">
        <v>10</v>
      </c>
      <c r="O130" s="5"/>
      <c r="P130" s="5"/>
      <c r="Q130" s="5"/>
      <c r="R130" s="5" t="s">
        <v>60</v>
      </c>
      <c r="S130" s="8"/>
    </row>
    <row r="131" spans="1:19" x14ac:dyDescent="0.3">
      <c r="A131" s="9" t="e">
        <f>IF(C131="","",MAX($A$2:A130)+1)</f>
        <v>#REF!</v>
      </c>
      <c r="B131" s="17" t="s">
        <v>36</v>
      </c>
      <c r="C131" s="11">
        <v>46086</v>
      </c>
      <c r="D131" s="13" t="str">
        <f>_xlfn.XLOOKUP([1]!Table134526_79101120212223242526[[#This Row],[Name Surname]],[1]Manpower!$C$4:$C$1048576,[1]Manpower!$B$4:$B$1048576,"")</f>
        <v>Bright Light</v>
      </c>
      <c r="E131" s="13" t="s">
        <v>45</v>
      </c>
      <c r="F131" s="12" t="e">
        <f>_xlfn.XLOOKUP([1]!Table134526_79101120212223242526[[#This Row],[Name Surname]],[1]Manpower!C:C,[1]Manpower!D:D,)</f>
        <v>#N/A</v>
      </c>
      <c r="G131" s="13" t="str">
        <f>_xlfn.XLOOKUP([1]!Table134526_79101120212223242526[[#This Row],[Name Surname]],[1]Manpower!$C$4:$C$1048576,[1]Manpower!$F$4:$F$1048576,"")</f>
        <v>Trailer</v>
      </c>
      <c r="H131" s="13" t="str">
        <f>_xlfn.XLOOKUP([1]!Table134526_79101120212223242526[[#This Row],[Name Surname]],[1]Manpower!$C$4:$C$1048576,[1]Manpower!$H$4:$H$1048576,"")</f>
        <v>Equipment</v>
      </c>
      <c r="I131" s="11" t="str">
        <f>_xlfn.XLOOKUP([1]!Table134526_79101120212223242526[[#This Row],[Name Surname]],[1]Manpower!$C$4:$C$1048576,[1]Manpower!$H$4:$H$1048576,"")</f>
        <v>Equipment</v>
      </c>
      <c r="J131" s="13" t="s">
        <v>38</v>
      </c>
      <c r="K131" s="13" t="s">
        <v>7</v>
      </c>
      <c r="L131" s="13" t="s">
        <v>39</v>
      </c>
      <c r="M131" s="13" t="s">
        <v>18</v>
      </c>
      <c r="N131" s="14">
        <v>10</v>
      </c>
      <c r="O131" s="13"/>
      <c r="P131" s="13"/>
      <c r="Q131" s="13"/>
      <c r="R131" s="13" t="s">
        <v>60</v>
      </c>
      <c r="S131" s="15"/>
    </row>
    <row r="132" spans="1:19" x14ac:dyDescent="0.3">
      <c r="A132" s="1" t="e">
        <f>IF(C132="","",MAX($A$2:A131)+1)</f>
        <v>#REF!</v>
      </c>
      <c r="B132" s="17" t="s">
        <v>36</v>
      </c>
      <c r="C132" s="3">
        <v>46086</v>
      </c>
      <c r="D132" s="5" t="str">
        <f>_xlfn.XLOOKUP([1]!Table134526_79101120212223242526[[#This Row],[Name Surname]],[1]Manpower!$C$4:$C$1048576,[1]Manpower!$B$4:$B$1048576,"")</f>
        <v>Encogroup</v>
      </c>
      <c r="E132" s="5" t="s">
        <v>46</v>
      </c>
      <c r="F132" s="4">
        <f>_xlfn.XLOOKUP([1]!Table134526_79101120212223242526[[#This Row],[Name Surname]],[1]Manpower!C:C,[1]Manpower!D:D,)</f>
        <v>140477664</v>
      </c>
      <c r="G132" s="5" t="str">
        <f>_xlfn.XLOOKUP([1]!Table134526_79101120212223242526[[#This Row],[Name Surname]],[1]Manpower!$C$4:$C$1048576,[1]Manpower!$F$4:$F$1048576,"")</f>
        <v>Junior HSE Officer</v>
      </c>
      <c r="H132" s="5" t="str">
        <f>_xlfn.XLOOKUP([1]!Table134526_79101120212223242526[[#This Row],[Name Surname]],[1]Manpower!$C$4:$C$1048576,[1]Manpower!$H$4:$H$1048576,"")</f>
        <v>Manpower</v>
      </c>
      <c r="I132" s="3" t="str">
        <f>_xlfn.XLOOKUP([1]!Table134526_79101120212223242526[[#This Row],[Name Surname]],[1]Manpower!$C$4:$C$1048576,[1]Manpower!$H$4:$H$1048576,"")</f>
        <v>Manpower</v>
      </c>
      <c r="J132" s="5" t="s">
        <v>38</v>
      </c>
      <c r="K132" s="5" t="s">
        <v>7</v>
      </c>
      <c r="L132" s="5" t="s">
        <v>39</v>
      </c>
      <c r="M132" s="5" t="s">
        <v>18</v>
      </c>
      <c r="N132" s="6">
        <v>10</v>
      </c>
      <c r="O132" s="5"/>
      <c r="P132" s="5"/>
      <c r="Q132" s="5"/>
      <c r="R132" s="5" t="s">
        <v>60</v>
      </c>
      <c r="S132" s="8"/>
    </row>
    <row r="133" spans="1:19" x14ac:dyDescent="0.3">
      <c r="A133" s="9" t="e">
        <f>IF(C133="","",MAX($A$2:A132)+1)</f>
        <v>#REF!</v>
      </c>
      <c r="B133" s="17" t="s">
        <v>36</v>
      </c>
      <c r="C133" s="11">
        <v>46086</v>
      </c>
      <c r="D133" s="13" t="str">
        <f>_xlfn.XLOOKUP([1]!Table134526_79101120212223242526[[#This Row],[Name Surname]],[1]Manpower!$C$4:$C$1048576,[1]Manpower!$B$4:$B$1048576,"")</f>
        <v>AL Omar International TRAD AND CONT</v>
      </c>
      <c r="E133" s="13" t="s">
        <v>48</v>
      </c>
      <c r="F133" s="12">
        <f>_xlfn.XLOOKUP([1]!Table134526_79101120212223242526[[#This Row],[Name Surname]],[1]Manpower!C:C,[1]Manpower!D:D,)</f>
        <v>116676257</v>
      </c>
      <c r="G133" s="13" t="str">
        <f>_xlfn.XLOOKUP([1]!Table134526_79101120212223242526[[#This Row],[Name Surname]],[1]Manpower!$C$4:$C$1048576,[1]Manpower!$F$4:$F$1048576,"")</f>
        <v>Scaffolder</v>
      </c>
      <c r="H133" s="13" t="str">
        <f>_xlfn.XLOOKUP([1]!Table134526_79101120212223242526[[#This Row],[Name Surname]],[1]Manpower!$C$4:$C$1048576,[1]Manpower!$H$4:$H$1048576,"")</f>
        <v>Sub Contactor</v>
      </c>
      <c r="I133" s="11" t="str">
        <f>_xlfn.XLOOKUP([1]!Table134526_79101120212223242526[[#This Row],[Name Surname]],[1]Manpower!$C$4:$C$1048576,[1]Manpower!$H$4:$H$1048576,"")</f>
        <v>Sub Contactor</v>
      </c>
      <c r="J133" s="13" t="s">
        <v>38</v>
      </c>
      <c r="K133" s="13" t="s">
        <v>7</v>
      </c>
      <c r="L133" s="13" t="s">
        <v>39</v>
      </c>
      <c r="M133" s="13" t="s">
        <v>18</v>
      </c>
      <c r="N133" s="14">
        <v>10</v>
      </c>
      <c r="O133" s="13"/>
      <c r="P133" s="13"/>
      <c r="Q133" s="13"/>
      <c r="R133" s="13" t="s">
        <v>60</v>
      </c>
      <c r="S133" s="15"/>
    </row>
    <row r="134" spans="1:19" x14ac:dyDescent="0.3">
      <c r="A134" s="1" t="e">
        <f>IF(C134="","",MAX($A$2:A133)+1)</f>
        <v>#REF!</v>
      </c>
      <c r="B134" s="17" t="s">
        <v>36</v>
      </c>
      <c r="C134" s="3">
        <v>46086</v>
      </c>
      <c r="D134" s="5" t="str">
        <f>_xlfn.XLOOKUP([1]!Table134526_79101120212223242526[[#This Row],[Name Surname]],[1]Manpower!$C$4:$C$1048576,[1]Manpower!$B$4:$B$1048576,"")</f>
        <v>Encogroup</v>
      </c>
      <c r="E134" s="5" t="s">
        <v>49</v>
      </c>
      <c r="F134" s="4">
        <f>_xlfn.XLOOKUP([1]!Table134526_79101120212223242526[[#This Row],[Name Surname]],[1]Manpower!C:C,[1]Manpower!D:D,)</f>
        <v>140846698</v>
      </c>
      <c r="G134" s="5" t="str">
        <f>_xlfn.XLOOKUP([1]!Table134526_79101120212223242526[[#This Row],[Name Surname]],[1]Manpower!$C$4:$C$1048576,[1]Manpower!$F$4:$F$1048576,"")</f>
        <v>Assistant/Helper</v>
      </c>
      <c r="H134" s="5" t="str">
        <f>_xlfn.XLOOKUP([1]!Table134526_79101120212223242526[[#This Row],[Name Surname]],[1]Manpower!$C$4:$C$1048576,[1]Manpower!$H$4:$H$1048576,"")</f>
        <v>Manpower</v>
      </c>
      <c r="I134" s="3" t="str">
        <f>_xlfn.XLOOKUP([1]!Table134526_79101120212223242526[[#This Row],[Name Surname]],[1]Manpower!$C$4:$C$1048576,[1]Manpower!$H$4:$H$1048576,"")</f>
        <v>Manpower</v>
      </c>
      <c r="J134" s="5" t="s">
        <v>38</v>
      </c>
      <c r="K134" s="5" t="s">
        <v>7</v>
      </c>
      <c r="L134" s="5" t="s">
        <v>39</v>
      </c>
      <c r="M134" s="5" t="s">
        <v>18</v>
      </c>
      <c r="N134" s="6">
        <v>10</v>
      </c>
      <c r="O134" s="5"/>
      <c r="P134" s="5"/>
      <c r="Q134" s="5"/>
      <c r="R134" s="5" t="s">
        <v>60</v>
      </c>
      <c r="S134" s="8"/>
    </row>
    <row r="135" spans="1:19" x14ac:dyDescent="0.3">
      <c r="A135" s="9" t="e">
        <f>IF(C135="","",MAX($A$2:A134)+1)</f>
        <v>#REF!</v>
      </c>
      <c r="B135" s="17" t="s">
        <v>36</v>
      </c>
      <c r="C135" s="11">
        <v>46086</v>
      </c>
      <c r="D135" s="13" t="str">
        <f>_xlfn.XLOOKUP([1]!Table134526_79101120212223242526[[#This Row],[Name Surname]],[1]Manpower!$C$4:$C$1048576,[1]Manpower!$B$4:$B$1048576,"")</f>
        <v>SARENS NASS</v>
      </c>
      <c r="E135" s="13" t="s">
        <v>50</v>
      </c>
      <c r="F135" s="12">
        <f>_xlfn.XLOOKUP([1]!Table134526_79101120212223242526[[#This Row],[Name Surname]],[1]Manpower!C:C,[1]Manpower!D:D,)</f>
        <v>109957631</v>
      </c>
      <c r="G135" s="13" t="str">
        <f>_xlfn.XLOOKUP([1]!Table134526_79101120212223242526[[#This Row],[Name Surname]],[1]Manpower!$C$4:$C$1048576,[1]Manpower!$F$4:$F$1048576,"")</f>
        <v>Crane Operator-130T Liebherr Crawler</v>
      </c>
      <c r="H135" s="13" t="str">
        <f>_xlfn.XLOOKUP([1]!Table134526_79101120212223242526[[#This Row],[Name Surname]],[1]Manpower!$C$4:$C$1048576,[1]Manpower!$H$4:$H$1048576,"")</f>
        <v>Manpower</v>
      </c>
      <c r="I135" s="11" t="str">
        <f>_xlfn.XLOOKUP([1]!Table134526_79101120212223242526[[#This Row],[Name Surname]],[1]Manpower!$C$4:$C$1048576,[1]Manpower!$H$4:$H$1048576,"")</f>
        <v>Manpower</v>
      </c>
      <c r="J135" s="13" t="s">
        <v>38</v>
      </c>
      <c r="K135" s="13" t="s">
        <v>7</v>
      </c>
      <c r="L135" s="13" t="s">
        <v>39</v>
      </c>
      <c r="M135" s="13" t="s">
        <v>5</v>
      </c>
      <c r="N135" s="14">
        <v>10</v>
      </c>
      <c r="O135" s="13"/>
      <c r="P135" s="13"/>
      <c r="Q135" s="13"/>
      <c r="R135" s="13" t="s">
        <v>60</v>
      </c>
      <c r="S135" s="15"/>
    </row>
    <row r="136" spans="1:19" x14ac:dyDescent="0.3">
      <c r="A136" s="1" t="e">
        <f>IF(C136="","",MAX($A$2:A135)+1)</f>
        <v>#REF!</v>
      </c>
      <c r="B136" s="17" t="s">
        <v>36</v>
      </c>
      <c r="C136" s="3">
        <v>46086</v>
      </c>
      <c r="D136" s="5" t="str">
        <f>_xlfn.XLOOKUP([1]!Table134526_79101120212223242526[[#This Row],[Name Surname]],[1]Manpower!$C$4:$C$1048576,[1]Manpower!$B$4:$B$1048576,"")</f>
        <v>Sarens Nass</v>
      </c>
      <c r="E136" s="3" t="s">
        <v>51</v>
      </c>
      <c r="F136" s="4" t="str">
        <f>_xlfn.XLOOKUP([1]!Table134526_79101120212223242526[[#This Row],[Name Surname]],[1]Manpower!C:C,[1]Manpower!D:D,)</f>
        <v>112346941</v>
      </c>
      <c r="G136" s="5" t="str">
        <f>_xlfn.XLOOKUP([1]!Table134526_79101120212223242526[[#This Row],[Name Surname]],[1]Manpower!$C$4:$C$1048576,[1]Manpower!$F$4:$F$1048576,"")</f>
        <v>Rigger</v>
      </c>
      <c r="H136" s="5" t="str">
        <f>_xlfn.XLOOKUP([1]!Table134526_79101120212223242526[[#This Row],[Name Surname]],[1]Manpower!$C$4:$C$1048576,[1]Manpower!$H$4:$H$1048576,"")</f>
        <v>Sub Contactor</v>
      </c>
      <c r="I136" s="3" t="str">
        <f>_xlfn.XLOOKUP([1]!Table134526_79101120212223242526[[#This Row],[Name Surname]],[1]Manpower!$C$4:$C$1048576,[1]Manpower!$H$4:$H$1048576,"")</f>
        <v>Sub Contactor</v>
      </c>
      <c r="J136" s="5" t="s">
        <v>38</v>
      </c>
      <c r="K136" s="5" t="s">
        <v>7</v>
      </c>
      <c r="L136" s="5" t="s">
        <v>39</v>
      </c>
      <c r="M136" s="5" t="s">
        <v>18</v>
      </c>
      <c r="N136" s="6">
        <v>10</v>
      </c>
      <c r="O136" s="5"/>
      <c r="P136" s="5"/>
      <c r="Q136" s="5"/>
      <c r="R136" s="5" t="s">
        <v>60</v>
      </c>
      <c r="S136" s="8"/>
    </row>
    <row r="137" spans="1:19" x14ac:dyDescent="0.3">
      <c r="A137" s="9" t="e">
        <f>IF(C137="","",MAX($A$2:A136)+1)</f>
        <v>#REF!</v>
      </c>
      <c r="B137" s="17" t="s">
        <v>36</v>
      </c>
      <c r="C137" s="11">
        <v>46086</v>
      </c>
      <c r="D137" s="13" t="str">
        <f>_xlfn.XLOOKUP([1]!Table134526_79101120212223242526[[#This Row],[Name Surname]],[1]Manpower!$C$4:$C$1048576,[1]Manpower!$B$4:$B$1048576,"")</f>
        <v>Sarens Nass</v>
      </c>
      <c r="E137" s="11" t="s">
        <v>52</v>
      </c>
      <c r="F137" s="12" t="str">
        <f>_xlfn.XLOOKUP([1]!Table134526_79101120212223242526[[#This Row],[Name Surname]],[1]Manpower!C:C,[1]Manpower!D:D,)</f>
        <v>77873529</v>
      </c>
      <c r="G137" s="13" t="str">
        <f>_xlfn.XLOOKUP([1]!Table134526_79101120212223242526[[#This Row],[Name Surname]],[1]Manpower!$C$4:$C$1048576,[1]Manpower!$F$4:$F$1048576,"")</f>
        <v>Mechanic</v>
      </c>
      <c r="H137" s="13" t="str">
        <f>_xlfn.XLOOKUP([1]!Table134526_79101120212223242526[[#This Row],[Name Surname]],[1]Manpower!$C$4:$C$1048576,[1]Manpower!$H$4:$H$1048576,"")</f>
        <v>Sub Contactor</v>
      </c>
      <c r="I137" s="11" t="str">
        <f>_xlfn.XLOOKUP([1]!Table134526_79101120212223242526[[#This Row],[Name Surname]],[1]Manpower!$C$4:$C$1048576,[1]Manpower!$H$4:$H$1048576,"")</f>
        <v>Sub Contactor</v>
      </c>
      <c r="J137" s="13" t="s">
        <v>38</v>
      </c>
      <c r="K137" s="13" t="s">
        <v>7</v>
      </c>
      <c r="L137" s="13" t="s">
        <v>39</v>
      </c>
      <c r="M137" s="13" t="s">
        <v>18</v>
      </c>
      <c r="N137" s="14">
        <v>10</v>
      </c>
      <c r="O137" s="13"/>
      <c r="P137" s="13"/>
      <c r="Q137" s="13"/>
      <c r="R137" s="13" t="s">
        <v>60</v>
      </c>
      <c r="S137" s="15"/>
    </row>
    <row r="138" spans="1:19" x14ac:dyDescent="0.3">
      <c r="A138" s="1" t="e">
        <f>IF(C138="","",MAX($A$2:A137)+1)</f>
        <v>#REF!</v>
      </c>
      <c r="B138" s="17" t="s">
        <v>36</v>
      </c>
      <c r="C138" s="3">
        <v>46086</v>
      </c>
      <c r="D138" s="5" t="str">
        <f>_xlfn.XLOOKUP([1]!Table134526_79101120212223242526[[#This Row],[Name Surname]],[1]Manpower!$C$4:$C$1048576,[1]Manpower!$B$4:$B$1048576,"")</f>
        <v>Encogroup</v>
      </c>
      <c r="E138" s="5" t="s">
        <v>53</v>
      </c>
      <c r="F138" s="4">
        <f>_xlfn.XLOOKUP([1]!Table134526_79101120212223242526[[#This Row],[Name Surname]],[1]Manpower!C:C,[1]Manpower!D:D,)</f>
        <v>140742177</v>
      </c>
      <c r="G138" s="5" t="str">
        <f>_xlfn.XLOOKUP([1]!Table134526_79101120212223242526[[#This Row],[Name Surname]],[1]Manpower!$C$4:$C$1048576,[1]Manpower!$F$4:$F$1048576,"")</f>
        <v>Grinder</v>
      </c>
      <c r="H138" s="5" t="str">
        <f>_xlfn.XLOOKUP([1]!Table134526_79101120212223242526[[#This Row],[Name Surname]],[1]Manpower!$C$4:$C$1048576,[1]Manpower!$H$4:$H$1048576,"")</f>
        <v>Manpower</v>
      </c>
      <c r="I138" s="3" t="str">
        <f>_xlfn.XLOOKUP([1]!Table134526_79101120212223242526[[#This Row],[Name Surname]],[1]Manpower!$C$4:$C$1048576,[1]Manpower!$H$4:$H$1048576,"")</f>
        <v>Manpower</v>
      </c>
      <c r="J138" s="5" t="s">
        <v>38</v>
      </c>
      <c r="K138" s="5" t="s">
        <v>7</v>
      </c>
      <c r="L138" s="5" t="s">
        <v>39</v>
      </c>
      <c r="M138" s="5" t="s">
        <v>18</v>
      </c>
      <c r="N138" s="6">
        <v>10</v>
      </c>
      <c r="O138" s="5"/>
      <c r="P138" s="5"/>
      <c r="Q138" s="5"/>
      <c r="R138" s="5" t="s">
        <v>60</v>
      </c>
      <c r="S138" s="8"/>
    </row>
    <row r="139" spans="1:19" x14ac:dyDescent="0.3">
      <c r="A139" s="9" t="e">
        <f>IF(C139="","",MAX($A$2:A138)+1)</f>
        <v>#REF!</v>
      </c>
      <c r="B139" s="17" t="s">
        <v>36</v>
      </c>
      <c r="C139" s="11">
        <v>46086</v>
      </c>
      <c r="D139" s="13" t="str">
        <f>_xlfn.XLOOKUP([1]!Table134526_79101120212223242526[[#This Row],[Name Surname]],[1]Manpower!$C$4:$C$1048576,[1]Manpower!$B$4:$B$1048576,"")</f>
        <v>Encogroup</v>
      </c>
      <c r="E139" s="13" t="s">
        <v>54</v>
      </c>
      <c r="F139" s="12">
        <f>_xlfn.XLOOKUP([1]!Table134526_79101120212223242526[[#This Row],[Name Surname]],[1]Manpower!C:C,[1]Manpower!D:D,)</f>
        <v>116853914</v>
      </c>
      <c r="G139" s="13" t="str">
        <f>_xlfn.XLOOKUP([1]!Table134526_79101120212223242526[[#This Row],[Name Surname]],[1]Manpower!$C$4:$C$1048576,[1]Manpower!$F$4:$F$1048576,"")</f>
        <v>Electrical Supervisor</v>
      </c>
      <c r="H139" s="13" t="str">
        <f>_xlfn.XLOOKUP([1]!Table134526_79101120212223242526[[#This Row],[Name Surname]],[1]Manpower!$C$4:$C$1048576,[1]Manpower!$H$4:$H$1048576,"")</f>
        <v>Manpower</v>
      </c>
      <c r="I139" s="11" t="str">
        <f>_xlfn.XLOOKUP([1]!Table134526_79101120212223242526[[#This Row],[Name Surname]],[1]Manpower!$C$4:$C$1048576,[1]Manpower!$H$4:$H$1048576,"")</f>
        <v>Manpower</v>
      </c>
      <c r="J139" s="13" t="s">
        <v>38</v>
      </c>
      <c r="K139" s="13" t="s">
        <v>7</v>
      </c>
      <c r="L139" s="13" t="s">
        <v>39</v>
      </c>
      <c r="M139" s="13" t="s">
        <v>18</v>
      </c>
      <c r="N139" s="14">
        <v>10</v>
      </c>
      <c r="O139" s="13"/>
      <c r="P139" s="13"/>
      <c r="Q139" s="13"/>
      <c r="R139" s="13" t="s">
        <v>60</v>
      </c>
      <c r="S139" s="15"/>
    </row>
    <row r="140" spans="1:19" x14ac:dyDescent="0.3">
      <c r="A140" s="1" t="e">
        <f>IF(C140="","",MAX($A$2:A139)+1)</f>
        <v>#REF!</v>
      </c>
      <c r="B140" s="17" t="s">
        <v>36</v>
      </c>
      <c r="C140" s="3">
        <v>46086</v>
      </c>
      <c r="D140" s="5" t="str">
        <f>_xlfn.XLOOKUP([1]!Table134526_79101120212223242526[[#This Row],[Name Surname]],[1]Manpower!$C$4:$C$1048576,[1]Manpower!$B$4:$B$1048576,"")</f>
        <v>Encogroup</v>
      </c>
      <c r="E140" s="5" t="s">
        <v>55</v>
      </c>
      <c r="F140" s="4" t="e">
        <f>_xlfn.XLOOKUP([1]!Table134526_79101120212223242526[[#This Row],[Name Surname]],[1]Manpower!C:C,[1]Manpower!D:D,)</f>
        <v>#N/A</v>
      </c>
      <c r="G140" s="5" t="str">
        <f>_xlfn.XLOOKUP([1]!Table134526_79101120212223242526[[#This Row],[Name Surname]],[1]Manpower!$C$4:$C$1048576,[1]Manpower!$F$4:$F$1048576,"")</f>
        <v>TOWER LIGHT</v>
      </c>
      <c r="H140" s="5" t="str">
        <f>_xlfn.XLOOKUP([1]!Table134526_79101120212223242526[[#This Row],[Name Surname]],[1]Manpower!$C$4:$C$1048576,[1]Manpower!$H$4:$H$1048576,"")</f>
        <v>Equipment</v>
      </c>
      <c r="I140" s="3" t="str">
        <f>_xlfn.XLOOKUP([1]!Table134526_79101120212223242526[[#This Row],[Name Surname]],[1]Manpower!$C$4:$C$1048576,[1]Manpower!$H$4:$H$1048576,"")</f>
        <v>Equipment</v>
      </c>
      <c r="J140" s="5" t="s">
        <v>38</v>
      </c>
      <c r="K140" s="5" t="s">
        <v>7</v>
      </c>
      <c r="L140" s="5" t="s">
        <v>39</v>
      </c>
      <c r="M140" s="5" t="s">
        <v>18</v>
      </c>
      <c r="N140" s="6">
        <v>10</v>
      </c>
      <c r="O140" s="5"/>
      <c r="P140" s="5"/>
      <c r="Q140" s="5"/>
      <c r="R140" s="5" t="s">
        <v>60</v>
      </c>
      <c r="S140" s="8"/>
    </row>
    <row r="141" spans="1:19" x14ac:dyDescent="0.3">
      <c r="A141" s="9" t="e">
        <f>IF(C141="","",MAX($A$2:A140)+1)</f>
        <v>#REF!</v>
      </c>
      <c r="B141" s="17" t="s">
        <v>36</v>
      </c>
      <c r="C141" s="11">
        <v>46086</v>
      </c>
      <c r="D141" s="13" t="str">
        <f>_xlfn.XLOOKUP([1]!Table134526_79101120212223242526[[#This Row],[Name Surname]],[1]Manpower!$C$4:$C$1048576,[1]Manpower!$B$4:$B$1048576,"")</f>
        <v>Encogroup</v>
      </c>
      <c r="E141" s="13" t="s">
        <v>56</v>
      </c>
      <c r="F141" s="12" t="e">
        <f>_xlfn.XLOOKUP([1]!Table134526_79101120212223242526[[#This Row],[Name Surname]],[1]Manpower!C:C,[1]Manpower!D:D,)</f>
        <v>#N/A</v>
      </c>
      <c r="G141" s="13" t="str">
        <f>_xlfn.XLOOKUP([1]!Table134526_79101120212223242526[[#This Row],[Name Surname]],[1]Manpower!$C$4:$C$1048576,[1]Manpower!$F$4:$F$1048576,"")</f>
        <v>TOWER LIGHT</v>
      </c>
      <c r="H141" s="13" t="str">
        <f>_xlfn.XLOOKUP([1]!Table134526_79101120212223242526[[#This Row],[Name Surname]],[1]Manpower!$C$4:$C$1048576,[1]Manpower!$H$4:$H$1048576,"")</f>
        <v>Equipment</v>
      </c>
      <c r="I141" s="11" t="str">
        <f>_xlfn.XLOOKUP([1]!Table134526_79101120212223242526[[#This Row],[Name Surname]],[1]Manpower!$C$4:$C$1048576,[1]Manpower!$H$4:$H$1048576,"")</f>
        <v>Equipment</v>
      </c>
      <c r="J141" s="13" t="s">
        <v>38</v>
      </c>
      <c r="K141" s="13" t="s">
        <v>7</v>
      </c>
      <c r="L141" s="13" t="s">
        <v>39</v>
      </c>
      <c r="M141" s="13" t="s">
        <v>18</v>
      </c>
      <c r="N141" s="14">
        <v>10</v>
      </c>
      <c r="O141" s="13"/>
      <c r="P141" s="13"/>
      <c r="Q141" s="13"/>
      <c r="R141" s="13" t="s">
        <v>60</v>
      </c>
      <c r="S141" s="15"/>
    </row>
    <row r="142" spans="1:19" x14ac:dyDescent="0.3">
      <c r="A142" s="1" t="e">
        <f>IF(C142="","",MAX($A$2:A141)+1)</f>
        <v>#REF!</v>
      </c>
      <c r="B142" s="17" t="s">
        <v>36</v>
      </c>
      <c r="C142" s="3">
        <v>46086</v>
      </c>
      <c r="D142" s="5" t="str">
        <f>_xlfn.XLOOKUP([1]!Table134526_79101120212223242526[[#This Row],[Name Surname]],[1]Manpower!$C$4:$C$1048576,[1]Manpower!$B$4:$B$1048576,"")</f>
        <v>AL Omar International Tarde&amp;Contracting SPC</v>
      </c>
      <c r="E142" s="5" t="s">
        <v>57</v>
      </c>
      <c r="F142" s="4">
        <f>_xlfn.XLOOKUP([1]!Table134526_79101120212223242526[[#This Row],[Name Surname]],[1]Manpower!C:C,[1]Manpower!D:D,)</f>
        <v>115122635</v>
      </c>
      <c r="G142" s="5" t="str">
        <f>_xlfn.XLOOKUP([1]!Table134526_79101120212223242526[[#This Row],[Name Surname]],[1]Manpower!$C$4:$C$1048576,[1]Manpower!$F$4:$F$1048576,"")</f>
        <v>Scaffolder</v>
      </c>
      <c r="H142" s="5" t="str">
        <f>_xlfn.XLOOKUP([1]!Table134526_79101120212223242526[[#This Row],[Name Surname]],[1]Manpower!$C$4:$C$1048576,[1]Manpower!$H$4:$H$1048576,"")</f>
        <v>Sub Contactor</v>
      </c>
      <c r="I142" s="3" t="str">
        <f>_xlfn.XLOOKUP([1]!Table134526_79101120212223242526[[#This Row],[Name Surname]],[1]Manpower!$C$4:$C$1048576,[1]Manpower!$H$4:$H$1048576,"")</f>
        <v>Sub Contactor</v>
      </c>
      <c r="J142" s="5" t="s">
        <v>38</v>
      </c>
      <c r="K142" s="5" t="s">
        <v>7</v>
      </c>
      <c r="L142" s="5" t="s">
        <v>39</v>
      </c>
      <c r="M142" s="5" t="s">
        <v>18</v>
      </c>
      <c r="N142" s="6">
        <v>10</v>
      </c>
      <c r="O142" s="5"/>
      <c r="P142" s="5"/>
      <c r="Q142" s="5"/>
      <c r="R142" s="5" t="s">
        <v>60</v>
      </c>
      <c r="S142" s="8"/>
    </row>
    <row r="143" spans="1:19" x14ac:dyDescent="0.3">
      <c r="A143" s="9" t="e">
        <f>IF(C143="","",MAX($A$2:A142)+1)</f>
        <v>#REF!</v>
      </c>
      <c r="B143" s="17" t="s">
        <v>36</v>
      </c>
      <c r="C143" s="11">
        <v>46086</v>
      </c>
      <c r="D143" s="13" t="str">
        <f>_xlfn.XLOOKUP([1]!Table134526_79101120212223242526[[#This Row],[Name Surname]],[1]Manpower!$C$4:$C$1048576,[1]Manpower!$B$4:$B$1048576,"")</f>
        <v>Encogroup</v>
      </c>
      <c r="E143" s="11" t="s">
        <v>58</v>
      </c>
      <c r="F143" s="12">
        <f>_xlfn.XLOOKUP([1]!Table134526_79101120212223242526[[#This Row],[Name Surname]],[1]Manpower!C:C,[1]Manpower!D:D,)</f>
        <v>137114773</v>
      </c>
      <c r="G143" s="13" t="str">
        <f>_xlfn.XLOOKUP([1]!Table134526_79101120212223242526[[#This Row],[Name Surname]],[1]Manpower!$C$4:$C$1048576,[1]Manpower!$F$4:$F$1048576,"")</f>
        <v>Rigger</v>
      </c>
      <c r="H143" s="13" t="str">
        <f>_xlfn.XLOOKUP([1]!Table134526_79101120212223242526[[#This Row],[Name Surname]],[1]Manpower!$C$4:$C$1048576,[1]Manpower!$H$4:$H$1048576,"")</f>
        <v>Manpower</v>
      </c>
      <c r="I143" s="11" t="str">
        <f>_xlfn.XLOOKUP([1]!Table134526_79101120212223242526[[#This Row],[Name Surname]],[1]Manpower!$C$4:$C$1048576,[1]Manpower!$H$4:$H$1048576,"")</f>
        <v>Manpower</v>
      </c>
      <c r="J143" s="13" t="s">
        <v>38</v>
      </c>
      <c r="K143" s="13" t="s">
        <v>7</v>
      </c>
      <c r="L143" s="13" t="s">
        <v>39</v>
      </c>
      <c r="M143" s="13" t="s">
        <v>18</v>
      </c>
      <c r="N143" s="14">
        <v>10</v>
      </c>
      <c r="O143" s="13"/>
      <c r="P143" s="13"/>
      <c r="Q143" s="13"/>
      <c r="R143" s="13" t="s">
        <v>60</v>
      </c>
      <c r="S143" s="15"/>
    </row>
    <row r="144" spans="1:19" x14ac:dyDescent="0.3">
      <c r="A144" s="1" t="e">
        <f>IF(C144="","",MAX($A$2:A143)+1)</f>
        <v>#REF!</v>
      </c>
      <c r="B144" s="17" t="s">
        <v>36</v>
      </c>
      <c r="C144" s="3">
        <v>46086</v>
      </c>
      <c r="D144" s="5" t="str">
        <f>_xlfn.XLOOKUP([1]!Table134526_79101120212223242526[[#This Row],[Name Surname]],[1]Manpower!$C$4:$C$1048576,[1]Manpower!$B$4:$B$1048576,"")</f>
        <v>Encogroup</v>
      </c>
      <c r="E144" s="3" t="s">
        <v>59</v>
      </c>
      <c r="F144" s="4">
        <f>_xlfn.XLOOKUP([1]!Table134526_79101120212223242526[[#This Row],[Name Surname]],[1]Manpower!C:C,[1]Manpower!D:D,)</f>
        <v>122082863</v>
      </c>
      <c r="G144" s="5" t="str">
        <f>_xlfn.XLOOKUP([1]!Table134526_79101120212223242526[[#This Row],[Name Surname]],[1]Manpower!$C$4:$C$1048576,[1]Manpower!$F$4:$F$1048576,"")</f>
        <v>Grinder</v>
      </c>
      <c r="H144" s="5" t="str">
        <f>_xlfn.XLOOKUP([1]!Table134526_79101120212223242526[[#This Row],[Name Surname]],[1]Manpower!$C$4:$C$1048576,[1]Manpower!$H$4:$H$1048576,"")</f>
        <v>Manpower</v>
      </c>
      <c r="I144" s="3" t="str">
        <f>_xlfn.XLOOKUP([1]!Table134526_79101120212223242526[[#This Row],[Name Surname]],[1]Manpower!$C$4:$C$1048576,[1]Manpower!$H$4:$H$1048576,"")</f>
        <v>Manpower</v>
      </c>
      <c r="J144" s="5" t="s">
        <v>38</v>
      </c>
      <c r="K144" s="5" t="s">
        <v>7</v>
      </c>
      <c r="L144" s="5" t="s">
        <v>39</v>
      </c>
      <c r="M144" s="5" t="s">
        <v>18</v>
      </c>
      <c r="N144" s="6">
        <v>10</v>
      </c>
      <c r="O144" s="5"/>
      <c r="P144" s="5"/>
      <c r="Q144" s="5"/>
      <c r="R144" s="5" t="s">
        <v>60</v>
      </c>
      <c r="S144" s="8"/>
    </row>
    <row r="145" spans="1:19" x14ac:dyDescent="0.3">
      <c r="A145" s="9" t="e">
        <f>IF(C145="","",MAX($A$2:A144)+1)</f>
        <v>#REF!</v>
      </c>
      <c r="B145" s="2" t="s">
        <v>0</v>
      </c>
      <c r="C145" s="11">
        <v>46088</v>
      </c>
      <c r="D145" s="13" t="str">
        <f>_xlfn.XLOOKUP([1]!Table134526_79101120212223242526[[#This Row],[Name Surname]],[1]Manpower!$C$4:$C$1048576,[1]Manpower!$B$4:$B$1048576,"")</f>
        <v>Encogroup</v>
      </c>
      <c r="E145" s="13" t="s">
        <v>1</v>
      </c>
      <c r="F145" s="12">
        <f>_xlfn.XLOOKUP([1]!Table134526_79101120212223242526[[#This Row],[Name Surname]],[1]Manpower!C:C,[1]Manpower!D:D,)</f>
        <v>140696989</v>
      </c>
      <c r="G145" s="13" t="str">
        <f>_xlfn.XLOOKUP([1]!Table134526_79101120212223242526[[#This Row],[Name Surname]],[1]Manpower!$C$4:$C$1048576,[1]Manpower!$F$4:$F$1048576,"")</f>
        <v>Assistant/Helper</v>
      </c>
      <c r="H145" s="13" t="str">
        <f>_xlfn.XLOOKUP([1]!Table134526_79101120212223242526[[#This Row],[Name Surname]],[1]Manpower!$C$4:$C$1048576,[1]Manpower!$H$4:$H$1048576,"")</f>
        <v>Manpower</v>
      </c>
      <c r="I145" s="11" t="str">
        <f>_xlfn.XLOOKUP([1]!Table134526_79101120212223242526[[#This Row],[Name Surname]],[1]Manpower!$C$4:$C$1048576,[1]Manpower!$H$4:$H$1048576,"")</f>
        <v>Manpower</v>
      </c>
      <c r="J145" s="13" t="s">
        <v>2</v>
      </c>
      <c r="K145" s="13" t="s">
        <v>3</v>
      </c>
      <c r="L145" s="13" t="s">
        <v>4</v>
      </c>
      <c r="M145" s="13" t="s">
        <v>18</v>
      </c>
      <c r="N145" s="14">
        <v>10</v>
      </c>
      <c r="O145" s="13"/>
      <c r="P145" s="13"/>
      <c r="Q145" s="13"/>
      <c r="R145" s="13" t="s">
        <v>60</v>
      </c>
      <c r="S145" s="15"/>
    </row>
    <row r="146" spans="1:19" x14ac:dyDescent="0.3">
      <c r="A146" s="1" t="e">
        <f>IF(C146="","",MAX($A$2:A145)+1)</f>
        <v>#REF!</v>
      </c>
      <c r="B146" s="10" t="s">
        <v>0</v>
      </c>
      <c r="C146" s="3">
        <v>46088</v>
      </c>
      <c r="D146" s="5" t="str">
        <f>_xlfn.XLOOKUP([1]!Table134526_79101120212223242526[[#This Row],[Name Surname]],[1]Manpower!$C$4:$C$1048576,[1]Manpower!$B$4:$B$1048576,"")</f>
        <v>Encogroup</v>
      </c>
      <c r="E146" s="3" t="s">
        <v>61</v>
      </c>
      <c r="F146" s="4">
        <f>_xlfn.XLOOKUP([1]!Table134526_79101120212223242526[[#This Row],[Name Surname]],[1]Manpower!C:C,[1]Manpower!D:D,)</f>
        <v>141365094</v>
      </c>
      <c r="G146" s="5" t="str">
        <f>_xlfn.XLOOKUP([1]!Table134526_79101120212223242526[[#This Row],[Name Surname]],[1]Manpower!$C$4:$C$1048576,[1]Manpower!$F$4:$F$1048576,"")</f>
        <v>Helper</v>
      </c>
      <c r="H146" s="5" t="str">
        <f>_xlfn.XLOOKUP([1]!Table134526_79101120212223242526[[#This Row],[Name Surname]],[1]Manpower!$C$4:$C$1048576,[1]Manpower!$H$4:$H$1048576,"")</f>
        <v>Manpower</v>
      </c>
      <c r="I146" s="3" t="str">
        <f>_xlfn.XLOOKUP([1]!Table134526_79101120212223242526[[#This Row],[Name Surname]],[1]Manpower!$C$4:$C$1048576,[1]Manpower!$H$4:$H$1048576,"")</f>
        <v>Manpower</v>
      </c>
      <c r="J146" s="5" t="s">
        <v>9</v>
      </c>
      <c r="K146" s="5" t="s">
        <v>7</v>
      </c>
      <c r="L146" s="5" t="s">
        <v>10</v>
      </c>
      <c r="M146" s="5" t="s">
        <v>18</v>
      </c>
      <c r="N146" s="6">
        <v>10</v>
      </c>
      <c r="O146" s="5"/>
      <c r="P146" s="5"/>
      <c r="Q146" s="5"/>
      <c r="R146" s="5" t="s">
        <v>60</v>
      </c>
      <c r="S146" s="8"/>
    </row>
    <row r="147" spans="1:19" x14ac:dyDescent="0.3">
      <c r="A147" s="9" t="e">
        <f>IF(C147="","",MAX($A$2:A146)+1)</f>
        <v>#REF!</v>
      </c>
      <c r="B147" s="10" t="s">
        <v>0</v>
      </c>
      <c r="C147" s="11">
        <v>46088</v>
      </c>
      <c r="D147" s="13" t="str">
        <f>_xlfn.XLOOKUP([1]!Table134526_79101120212223242526[[#This Row],[Name Surname]],[1]Manpower!$C$4:$C$1048576,[1]Manpower!$B$4:$B$1048576,"")</f>
        <v xml:space="preserve">FAL Transport </v>
      </c>
      <c r="E147" s="13" t="s">
        <v>8</v>
      </c>
      <c r="F147" s="12">
        <f>_xlfn.XLOOKUP([1]!Table134526_79101120212223242526[[#This Row],[Name Surname]],[1]Manpower!C:C,[1]Manpower!D:D,)</f>
        <v>124233837</v>
      </c>
      <c r="G147" s="13" t="str">
        <f>_xlfn.XLOOKUP([1]!Table134526_79101120212223242526[[#This Row],[Name Surname]],[1]Manpower!$C$4:$C$1048576,[1]Manpower!$F$4:$F$1048576,"")</f>
        <v>Trailer Driver</v>
      </c>
      <c r="H147" s="13" t="str">
        <f>_xlfn.XLOOKUP([1]!Table134526_79101120212223242526[[#This Row],[Name Surname]],[1]Manpower!$C$4:$C$1048576,[1]Manpower!$H$4:$H$1048576,"")</f>
        <v>Sub Contactor</v>
      </c>
      <c r="I147" s="11" t="str">
        <f>_xlfn.XLOOKUP([1]!Table134526_79101120212223242526[[#This Row],[Name Surname]],[1]Manpower!$C$4:$C$1048576,[1]Manpower!$H$4:$H$1048576,"")</f>
        <v>Sub Contactor</v>
      </c>
      <c r="J147" s="13" t="s">
        <v>9</v>
      </c>
      <c r="K147" s="13" t="s">
        <v>7</v>
      </c>
      <c r="L147" s="13" t="s">
        <v>10</v>
      </c>
      <c r="M147" s="13" t="s">
        <v>18</v>
      </c>
      <c r="N147" s="14">
        <v>10</v>
      </c>
      <c r="O147" s="13"/>
      <c r="P147" s="13"/>
      <c r="Q147" s="13"/>
      <c r="R147" s="13" t="s">
        <v>60</v>
      </c>
      <c r="S147" s="15"/>
    </row>
    <row r="148" spans="1:19" x14ac:dyDescent="0.3">
      <c r="A148" s="1" t="e">
        <f>IF(C148="","",MAX($A$2:A147)+1)</f>
        <v>#REF!</v>
      </c>
      <c r="B148" s="10" t="s">
        <v>0</v>
      </c>
      <c r="C148" s="3">
        <v>46088</v>
      </c>
      <c r="D148" s="5" t="str">
        <f>_xlfn.XLOOKUP([1]!Table134526_79101120212223242526[[#This Row],[Name Surname]],[1]Manpower!$C$4:$C$1048576,[1]Manpower!$B$4:$B$1048576,"")</f>
        <v>Riyan Al Khaleej</v>
      </c>
      <c r="E148" s="5" t="s">
        <v>15</v>
      </c>
      <c r="F148" s="4" t="e">
        <f>_xlfn.XLOOKUP([1]!Table134526_79101120212223242526[[#This Row],[Name Surname]],[1]Manpower!C:C,[1]Manpower!D:D,)</f>
        <v>#N/A</v>
      </c>
      <c r="G148" s="5" t="str">
        <f>_xlfn.XLOOKUP([1]!Table134526_79101120212223242526[[#This Row],[Name Surname]],[1]Manpower!$C$4:$C$1048576,[1]Manpower!$F$4:$F$1048576,"")</f>
        <v>100T Telescopic Crane</v>
      </c>
      <c r="H148" s="5" t="str">
        <f>_xlfn.XLOOKUP([1]!Table134526_79101120212223242526[[#This Row],[Name Surname]],[1]Manpower!$C$4:$C$1048576,[1]Manpower!$H$4:$H$1048576,"")</f>
        <v>Equipment</v>
      </c>
      <c r="I148" s="3" t="str">
        <f>_xlfn.XLOOKUP([1]!Table134526_79101120212223242526[[#This Row],[Name Surname]],[1]Manpower!$C$4:$C$1048576,[1]Manpower!$H$4:$H$1048576,"")</f>
        <v>Equipment</v>
      </c>
      <c r="J148" s="5" t="s">
        <v>9</v>
      </c>
      <c r="K148" s="5" t="s">
        <v>7</v>
      </c>
      <c r="L148" s="5" t="s">
        <v>10</v>
      </c>
      <c r="M148" s="5" t="s">
        <v>18</v>
      </c>
      <c r="N148" s="6">
        <v>10</v>
      </c>
      <c r="O148" s="5"/>
      <c r="P148" s="5"/>
      <c r="Q148" s="5"/>
      <c r="R148" s="5" t="s">
        <v>60</v>
      </c>
      <c r="S148" s="8"/>
    </row>
    <row r="149" spans="1:19" x14ac:dyDescent="0.3">
      <c r="A149" s="9" t="e">
        <f>IF(C149="","",MAX($A$2:A148)+1)</f>
        <v>#REF!</v>
      </c>
      <c r="B149" s="10" t="s">
        <v>0</v>
      </c>
      <c r="C149" s="11">
        <v>46088</v>
      </c>
      <c r="D149" s="13" t="str">
        <f>_xlfn.XLOOKUP([1]!Table134526_79101120212223242526[[#This Row],[Name Surname]],[1]Manpower!$C$4:$C$1048576,[1]Manpower!$B$4:$B$1048576,"")</f>
        <v>Encogroup</v>
      </c>
      <c r="E149" s="13" t="s">
        <v>17</v>
      </c>
      <c r="F149" s="12">
        <f>_xlfn.XLOOKUP([1]!Table134526_79101120212223242526[[#This Row],[Name Surname]],[1]Manpower!C:C,[1]Manpower!D:D,)</f>
        <v>127414586</v>
      </c>
      <c r="G149" s="13" t="str">
        <f>_xlfn.XLOOKUP([1]!Table134526_79101120212223242526[[#This Row],[Name Surname]],[1]Manpower!$C$4:$C$1048576,[1]Manpower!$F$4:$F$1048576,"")</f>
        <v>Electrician</v>
      </c>
      <c r="H149" s="13" t="str">
        <f>_xlfn.XLOOKUP([1]!Table134526_79101120212223242526[[#This Row],[Name Surname]],[1]Manpower!$C$4:$C$1048576,[1]Manpower!$H$4:$H$1048576,"")</f>
        <v>Manpower</v>
      </c>
      <c r="I149" s="11" t="str">
        <f>_xlfn.XLOOKUP([1]!Table134526_79101120212223242526[[#This Row],[Name Surname]],[1]Manpower!$C$4:$C$1048576,[1]Manpower!$H$4:$H$1048576,"")</f>
        <v>Manpower</v>
      </c>
      <c r="J149" s="13" t="s">
        <v>9</v>
      </c>
      <c r="K149" s="13" t="s">
        <v>7</v>
      </c>
      <c r="L149" s="13" t="s">
        <v>10</v>
      </c>
      <c r="M149" s="13" t="s">
        <v>18</v>
      </c>
      <c r="N149" s="14">
        <v>10</v>
      </c>
      <c r="O149" s="13"/>
      <c r="P149" s="13"/>
      <c r="Q149" s="13"/>
      <c r="R149" s="13" t="s">
        <v>60</v>
      </c>
      <c r="S149" s="15"/>
    </row>
    <row r="150" spans="1:19" x14ac:dyDescent="0.3">
      <c r="A150" s="1" t="e">
        <f>IF(C150="","",MAX($A$2:A149)+1)</f>
        <v>#REF!</v>
      </c>
      <c r="B150" s="10" t="s">
        <v>0</v>
      </c>
      <c r="C150" s="3">
        <v>46088</v>
      </c>
      <c r="D150" s="3" t="str">
        <f>_xlfn.XLOOKUP([1]!Table134526_79101120212223242526[[#This Row],[Name Surname]],[1]Manpower!$C$4:$C$1048576,[1]Manpower!$B$4:$B$1048576,"")</f>
        <v>Encogroup</v>
      </c>
      <c r="E150" s="3" t="s">
        <v>20</v>
      </c>
      <c r="F150" s="4">
        <f>_xlfn.XLOOKUP([1]!Table134526_79101120212223242526[[#This Row],[Name Surname]],[1]Manpower!C:C,[1]Manpower!D:D,)</f>
        <v>127331574</v>
      </c>
      <c r="G150" s="3" t="str">
        <f>_xlfn.XLOOKUP([1]!Table134526_79101120212223242526[[#This Row],[Name Surname]],[1]Manpower!$C$4:$C$1048576,[1]Manpower!$F$4:$F$1048576,"")</f>
        <v>Permit Receiver</v>
      </c>
      <c r="H150" s="3" t="str">
        <f>_xlfn.XLOOKUP([1]!Table134526_79101120212223242526[[#This Row],[Name Surname]],[1]Manpower!$C$4:$C$1048576,[1]Manpower!$H$4:$H$1048576,"")</f>
        <v>Manpower</v>
      </c>
      <c r="I150" s="3" t="str">
        <f>_xlfn.XLOOKUP([1]!Table134526_79101120212223242526[[#This Row],[Name Surname]],[1]Manpower!$C$4:$C$1048576,[1]Manpower!$H$4:$H$1048576,"")</f>
        <v>Manpower</v>
      </c>
      <c r="J150" s="5" t="s">
        <v>9</v>
      </c>
      <c r="K150" s="5" t="s">
        <v>7</v>
      </c>
      <c r="L150" s="5" t="s">
        <v>10</v>
      </c>
      <c r="M150" s="5" t="s">
        <v>18</v>
      </c>
      <c r="N150" s="6">
        <v>10</v>
      </c>
      <c r="O150" s="5"/>
      <c r="P150" s="5"/>
      <c r="Q150" s="5"/>
      <c r="R150" s="5" t="s">
        <v>60</v>
      </c>
      <c r="S150" s="8"/>
    </row>
    <row r="151" spans="1:19" x14ac:dyDescent="0.3">
      <c r="A151" s="9" t="e">
        <f>IF(C151="","",MAX($A$2:A150)+1)</f>
        <v>#REF!</v>
      </c>
      <c r="B151" s="16" t="s">
        <v>21</v>
      </c>
      <c r="C151" s="11">
        <v>46088</v>
      </c>
      <c r="D151" s="13" t="str">
        <f>_xlfn.XLOOKUP([1]!Table134526_79101120212223242526[[#This Row],[Name Surname]],[1]Manpower!$C$4:$C$1048576,[1]Manpower!$B$4:$B$1048576,"")</f>
        <v>Encogroup</v>
      </c>
      <c r="E151" s="13" t="s">
        <v>22</v>
      </c>
      <c r="F151" s="12">
        <f>_xlfn.XLOOKUP([1]!Table134526_79101120212223242526[[#This Row],[Name Surname]],[1]Manpower!C:C,[1]Manpower!D:D,)</f>
        <v>116589569</v>
      </c>
      <c r="G151" s="13" t="str">
        <f>_xlfn.XLOOKUP([1]!Table134526_79101120212223242526[[#This Row],[Name Surname]],[1]Manpower!$C$4:$C$1048576,[1]Manpower!$F$4:$F$1048576,"")</f>
        <v>Mechanical Engineer</v>
      </c>
      <c r="H151" s="13" t="str">
        <f>_xlfn.XLOOKUP([1]!Table134526_79101120212223242526[[#This Row],[Name Surname]],[1]Manpower!$C$4:$C$1048576,[1]Manpower!$H$4:$H$1048576,"")</f>
        <v>Manpower</v>
      </c>
      <c r="I151" s="11" t="str">
        <f>_xlfn.XLOOKUP([1]!Table134526_79101120212223242526[[#This Row],[Name Surname]],[1]Manpower!$C$4:$C$1048576,[1]Manpower!$H$4:$H$1048576,"")</f>
        <v>Manpower</v>
      </c>
      <c r="J151" s="13" t="s">
        <v>23</v>
      </c>
      <c r="K151" s="13" t="s">
        <v>24</v>
      </c>
      <c r="L151" s="13" t="s">
        <v>25</v>
      </c>
      <c r="M151" s="13" t="s">
        <v>18</v>
      </c>
      <c r="N151" s="14">
        <v>10</v>
      </c>
      <c r="O151" s="13"/>
      <c r="P151" s="13"/>
      <c r="Q151" s="13"/>
      <c r="R151" s="13" t="s">
        <v>60</v>
      </c>
      <c r="S151" s="15"/>
    </row>
    <row r="152" spans="1:19" x14ac:dyDescent="0.3">
      <c r="A152" s="1" t="e">
        <f>IF(C152="","",MAX($A$2:A151)+1)</f>
        <v>#REF!</v>
      </c>
      <c r="B152" s="16" t="s">
        <v>21</v>
      </c>
      <c r="C152" s="3">
        <v>46088</v>
      </c>
      <c r="D152" s="5" t="str">
        <f>_xlfn.XLOOKUP([1]!Table134526_79101120212223242526[[#This Row],[Name Surname]],[1]Manpower!$C$4:$C$1048576,[1]Manpower!$B$4:$B$1048576,"")</f>
        <v>Encogroup</v>
      </c>
      <c r="E152" s="5" t="s">
        <v>28</v>
      </c>
      <c r="F152" s="4">
        <f>_xlfn.XLOOKUP([1]!Table134526_79101120212223242526[[#This Row],[Name Surname]],[1]Manpower!C:C,[1]Manpower!D:D,)</f>
        <v>99596058</v>
      </c>
      <c r="G152" s="5" t="str">
        <f>_xlfn.XLOOKUP([1]!Table134526_79101120212223242526[[#This Row],[Name Surname]],[1]Manpower!$C$4:$C$1048576,[1]Manpower!$F$4:$F$1048576,"")</f>
        <v>HSE Officer</v>
      </c>
      <c r="H152" s="5" t="str">
        <f>_xlfn.XLOOKUP([1]!Table134526_79101120212223242526[[#This Row],[Name Surname]],[1]Manpower!$C$4:$C$1048576,[1]Manpower!$H$4:$H$1048576,"")</f>
        <v>Manpower</v>
      </c>
      <c r="I152" s="3" t="str">
        <f>_xlfn.XLOOKUP([1]!Table134526_79101120212223242526[[#This Row],[Name Surname]],[1]Manpower!$C$4:$C$1048576,[1]Manpower!$H$4:$H$1048576,"")</f>
        <v>Manpower</v>
      </c>
      <c r="J152" s="5" t="s">
        <v>23</v>
      </c>
      <c r="K152" s="5" t="s">
        <v>24</v>
      </c>
      <c r="L152" s="5" t="s">
        <v>25</v>
      </c>
      <c r="M152" s="5" t="s">
        <v>18</v>
      </c>
      <c r="N152" s="6">
        <v>10</v>
      </c>
      <c r="O152" s="5"/>
      <c r="P152" s="5"/>
      <c r="Q152" s="5"/>
      <c r="R152" s="5" t="s">
        <v>60</v>
      </c>
      <c r="S152" s="8"/>
    </row>
    <row r="153" spans="1:19" x14ac:dyDescent="0.3">
      <c r="A153" s="9" t="e">
        <f>IF(C153="","",MAX($A$2:A152)+1)</f>
        <v>#REF!</v>
      </c>
      <c r="B153" s="16" t="s">
        <v>21</v>
      </c>
      <c r="C153" s="11">
        <v>46088</v>
      </c>
      <c r="D153" s="13" t="str">
        <f>_xlfn.XLOOKUP([1]!Table134526_79101120212223242526[[#This Row],[Name Surname]],[1]Manpower!$C$4:$C$1048576,[1]Manpower!$B$4:$B$1048576,"")</f>
        <v>Encogroup</v>
      </c>
      <c r="E153" s="13" t="s">
        <v>31</v>
      </c>
      <c r="F153" s="12">
        <f>_xlfn.XLOOKUP([1]!Table134526_79101120212223242526[[#This Row],[Name Surname]],[1]Manpower!C:C,[1]Manpower!D:D,)</f>
        <v>140697039</v>
      </c>
      <c r="G153" s="13" t="str">
        <f>_xlfn.XLOOKUP([1]!Table134526_79101120212223242526[[#This Row],[Name Surname]],[1]Manpower!$C$4:$C$1048576,[1]Manpower!$F$4:$F$1048576,"")</f>
        <v>Fitter/Erector</v>
      </c>
      <c r="H153" s="13" t="str">
        <f>_xlfn.XLOOKUP([1]!Table134526_79101120212223242526[[#This Row],[Name Surname]],[1]Manpower!$C$4:$C$1048576,[1]Manpower!$H$4:$H$1048576,"")</f>
        <v>Manpower</v>
      </c>
      <c r="I153" s="11" t="str">
        <f>_xlfn.XLOOKUP([1]!Table134526_79101120212223242526[[#This Row],[Name Surname]],[1]Manpower!$C$4:$C$1048576,[1]Manpower!$H$4:$H$1048576,"")</f>
        <v>Manpower</v>
      </c>
      <c r="J153" s="13" t="s">
        <v>23</v>
      </c>
      <c r="K153" s="13" t="s">
        <v>24</v>
      </c>
      <c r="L153" s="13" t="s">
        <v>25</v>
      </c>
      <c r="M153" s="13" t="s">
        <v>18</v>
      </c>
      <c r="N153" s="14">
        <v>10</v>
      </c>
      <c r="O153" s="13"/>
      <c r="P153" s="13"/>
      <c r="Q153" s="13"/>
      <c r="R153" s="13" t="s">
        <v>60</v>
      </c>
      <c r="S153" s="15"/>
    </row>
    <row r="154" spans="1:19" x14ac:dyDescent="0.3">
      <c r="A154" s="1" t="e">
        <f>IF(C154="","",MAX($A$2:A153)+1)</f>
        <v>#REF!</v>
      </c>
      <c r="B154" s="16" t="s">
        <v>21</v>
      </c>
      <c r="C154" s="3">
        <v>46088</v>
      </c>
      <c r="D154" s="5" t="str">
        <f>_xlfn.XLOOKUP([1]!Table134526_79101120212223242526[[#This Row],[Name Surname]],[1]Manpower!$C$4:$C$1048576,[1]Manpower!$B$4:$B$1048576,"")</f>
        <v>Encogroup</v>
      </c>
      <c r="E154" s="5" t="s">
        <v>32</v>
      </c>
      <c r="F154" s="4">
        <f>_xlfn.XLOOKUP([1]!Table134526_79101120212223242526[[#This Row],[Name Surname]],[1]Manpower!C:C,[1]Manpower!D:D,)</f>
        <v>124565057</v>
      </c>
      <c r="G154" s="5" t="str">
        <f>_xlfn.XLOOKUP([1]!Table134526_79101120212223242526[[#This Row],[Name Surname]],[1]Manpower!$C$4:$C$1048576,[1]Manpower!$F$4:$F$1048576,"")</f>
        <v>Fitter/Erector</v>
      </c>
      <c r="H154" s="5" t="str">
        <f>_xlfn.XLOOKUP([1]!Table134526_79101120212223242526[[#This Row],[Name Surname]],[1]Manpower!$C$4:$C$1048576,[1]Manpower!$H$4:$H$1048576,"")</f>
        <v>Manpower</v>
      </c>
      <c r="I154" s="3" t="str">
        <f>_xlfn.XLOOKUP([1]!Table134526_79101120212223242526[[#This Row],[Name Surname]],[1]Manpower!$C$4:$C$1048576,[1]Manpower!$H$4:$H$1048576,"")</f>
        <v>Manpower</v>
      </c>
      <c r="J154" s="5" t="s">
        <v>23</v>
      </c>
      <c r="K154" s="5" t="s">
        <v>24</v>
      </c>
      <c r="L154" s="5" t="s">
        <v>25</v>
      </c>
      <c r="M154" s="5" t="s">
        <v>18</v>
      </c>
      <c r="N154" s="6">
        <v>10</v>
      </c>
      <c r="O154" s="5"/>
      <c r="P154" s="5"/>
      <c r="Q154" s="5"/>
      <c r="R154" s="5" t="s">
        <v>60</v>
      </c>
      <c r="S154" s="8"/>
    </row>
    <row r="155" spans="1:19" x14ac:dyDescent="0.3">
      <c r="A155" s="9" t="e">
        <f>IF(C155="","",MAX($A$2:A153)+1)</f>
        <v>#REF!</v>
      </c>
      <c r="B155" s="16" t="s">
        <v>21</v>
      </c>
      <c r="C155" s="11">
        <v>46088</v>
      </c>
      <c r="D155" s="13" t="str">
        <f>_xlfn.XLOOKUP([1]!Table134526_79101120212223242526[[#This Row],[Name Surname]],[1]Manpower!$C$4:$C$1048576,[1]Manpower!$B$4:$B$1048576,"")</f>
        <v>Encogroup</v>
      </c>
      <c r="E155" s="11" t="s">
        <v>34</v>
      </c>
      <c r="F155" s="12">
        <f>_xlfn.XLOOKUP([1]!Table134526_79101120212223242526[[#This Row],[Name Surname]],[1]Manpower!C:C,[1]Manpower!D:D,)</f>
        <v>141365023</v>
      </c>
      <c r="G155" s="13" t="str">
        <f>_xlfn.XLOOKUP([1]!Table134526_79101120212223242526[[#This Row],[Name Surname]],[1]Manpower!$C$4:$C$1048576,[1]Manpower!$F$4:$F$1048576,"")</f>
        <v>Grinder</v>
      </c>
      <c r="H155" s="13" t="str">
        <f>_xlfn.XLOOKUP([1]!Table134526_79101120212223242526[[#This Row],[Name Surname]],[1]Manpower!$C$4:$C$1048576,[1]Manpower!$H$4:$H$1048576,"")</f>
        <v>Manpower</v>
      </c>
      <c r="I155" s="11" t="str">
        <f>_xlfn.XLOOKUP([1]!Table134526_79101120212223242526[[#This Row],[Name Surname]],[1]Manpower!$C$4:$C$1048576,[1]Manpower!$H$4:$H$1048576,"")</f>
        <v>Manpower</v>
      </c>
      <c r="J155" s="13" t="s">
        <v>23</v>
      </c>
      <c r="K155" s="13" t="s">
        <v>24</v>
      </c>
      <c r="L155" s="13" t="s">
        <v>25</v>
      </c>
      <c r="M155" s="13" t="s">
        <v>18</v>
      </c>
      <c r="N155" s="14">
        <v>10</v>
      </c>
      <c r="O155" s="13"/>
      <c r="P155" s="13"/>
      <c r="Q155" s="13"/>
      <c r="R155" s="13" t="s">
        <v>60</v>
      </c>
      <c r="S155" s="15"/>
    </row>
    <row r="156" spans="1:19" x14ac:dyDescent="0.3">
      <c r="A156" s="1" t="e">
        <f>IF(C156="","",MAX($A$2:A155)+1)</f>
        <v>#REF!</v>
      </c>
      <c r="B156" s="17" t="s">
        <v>36</v>
      </c>
      <c r="C156" s="3">
        <v>46088</v>
      </c>
      <c r="D156" s="5" t="str">
        <f>_xlfn.XLOOKUP([1]!Table134526_79101120212223242526[[#This Row],[Name Surname]],[1]Manpower!$C$4:$C$1048576,[1]Manpower!$B$4:$B$1048576,"")</f>
        <v>AL Omar International TRAD AND CONT</v>
      </c>
      <c r="E156" s="5" t="s">
        <v>37</v>
      </c>
      <c r="F156" s="4">
        <f>_xlfn.XLOOKUP([1]!Table134526_79101120212223242526[[#This Row],[Name Surname]],[1]Manpower!C:C,[1]Manpower!D:D,)</f>
        <v>114929202</v>
      </c>
      <c r="G156" s="5" t="str">
        <f>_xlfn.XLOOKUP([1]!Table134526_79101120212223242526[[#This Row],[Name Surname]],[1]Manpower!$C$4:$C$1048576,[1]Manpower!$F$4:$F$1048576,"")</f>
        <v>RIgger</v>
      </c>
      <c r="H156" s="5" t="str">
        <f>_xlfn.XLOOKUP([1]!Table134526_79101120212223242526[[#This Row],[Name Surname]],[1]Manpower!$C$4:$C$1048576,[1]Manpower!$H$4:$H$1048576,"")</f>
        <v>Sub Contactor</v>
      </c>
      <c r="I156" s="3" t="str">
        <f>_xlfn.XLOOKUP([1]!Table134526_79101120212223242526[[#This Row],[Name Surname]],[1]Manpower!$C$4:$C$1048576,[1]Manpower!$H$4:$H$1048576,"")</f>
        <v>Sub Contactor</v>
      </c>
      <c r="J156" s="5" t="s">
        <v>38</v>
      </c>
      <c r="K156" s="5" t="s">
        <v>7</v>
      </c>
      <c r="L156" s="5" t="s">
        <v>39</v>
      </c>
      <c r="M156" s="5" t="s">
        <v>18</v>
      </c>
      <c r="N156" s="6">
        <v>10</v>
      </c>
      <c r="O156" s="5"/>
      <c r="P156" s="5"/>
      <c r="Q156" s="5"/>
      <c r="R156" s="5" t="s">
        <v>60</v>
      </c>
      <c r="S156" s="8"/>
    </row>
    <row r="157" spans="1:19" x14ac:dyDescent="0.3">
      <c r="A157" s="9" t="e">
        <f>IF(C157="","",MAX($A$2:A156)+1)</f>
        <v>#REF!</v>
      </c>
      <c r="B157" s="17" t="s">
        <v>36</v>
      </c>
      <c r="C157" s="11">
        <v>46088</v>
      </c>
      <c r="D157" s="13" t="str">
        <f>_xlfn.XLOOKUP([1]!Table134526_79101120212223242526[[#This Row],[Name Surname]],[1]Manpower!$C$4:$C$1048576,[1]Manpower!$B$4:$B$1048576,"")</f>
        <v>Encogroup</v>
      </c>
      <c r="E157" s="13" t="s">
        <v>40</v>
      </c>
      <c r="F157" s="12">
        <f>_xlfn.XLOOKUP([1]!Table134526_79101120212223242526[[#This Row],[Name Surname]],[1]Manpower!C:C,[1]Manpower!D:D,)</f>
        <v>140742088</v>
      </c>
      <c r="G157" s="13" t="str">
        <f>_xlfn.XLOOKUP([1]!Table134526_79101120212223242526[[#This Row],[Name Surname]],[1]Manpower!$C$4:$C$1048576,[1]Manpower!$F$4:$F$1048576,"")</f>
        <v>Fitter/Erector</v>
      </c>
      <c r="H157" s="13" t="str">
        <f>_xlfn.XLOOKUP([1]!Table134526_79101120212223242526[[#This Row],[Name Surname]],[1]Manpower!$C$4:$C$1048576,[1]Manpower!$H$4:$H$1048576,"")</f>
        <v>Manpower</v>
      </c>
      <c r="I157" s="11" t="str">
        <f>_xlfn.XLOOKUP([1]!Table134526_79101120212223242526[[#This Row],[Name Surname]],[1]Manpower!$C$4:$C$1048576,[1]Manpower!$H$4:$H$1048576,"")</f>
        <v>Manpower</v>
      </c>
      <c r="J157" s="13" t="s">
        <v>38</v>
      </c>
      <c r="K157" s="13" t="s">
        <v>7</v>
      </c>
      <c r="L157" s="13" t="s">
        <v>39</v>
      </c>
      <c r="M157" s="13" t="s">
        <v>18</v>
      </c>
      <c r="N157" s="14">
        <v>10</v>
      </c>
      <c r="O157" s="13"/>
      <c r="P157" s="13"/>
      <c r="Q157" s="13"/>
      <c r="R157" s="13" t="s">
        <v>60</v>
      </c>
      <c r="S157" s="15"/>
    </row>
    <row r="158" spans="1:19" x14ac:dyDescent="0.3">
      <c r="A158" s="1" t="e">
        <f>IF(C158="","",MAX($A$2:A156)+1)</f>
        <v>#REF!</v>
      </c>
      <c r="B158" s="17" t="s">
        <v>36</v>
      </c>
      <c r="C158" s="3">
        <v>46088</v>
      </c>
      <c r="D158" s="5" t="str">
        <f>_xlfn.XLOOKUP([1]!Table134526_79101120212223242526[[#This Row],[Name Surname]],[1]Manpower!$C$4:$C$1048576,[1]Manpower!$B$4:$B$1048576,"")</f>
        <v>Rial Al Khaleej</v>
      </c>
      <c r="E158" s="5" t="s">
        <v>41</v>
      </c>
      <c r="F158" s="4">
        <f>_xlfn.XLOOKUP([1]!Table134526_79101120212223242526[[#This Row],[Name Surname]],[1]Manpower!C:C,[1]Manpower!D:D,)</f>
        <v>98845403</v>
      </c>
      <c r="G158" s="5" t="str">
        <f>_xlfn.XLOOKUP([1]!Table134526_79101120212223242526[[#This Row],[Name Surname]],[1]Manpower!$C$4:$C$1048576,[1]Manpower!$F$4:$F$1048576,"")</f>
        <v>Crane Operator-100T Zoomlion Telescopic</v>
      </c>
      <c r="H158" s="5" t="str">
        <f>_xlfn.XLOOKUP([1]!Table134526_79101120212223242526[[#This Row],[Name Surname]],[1]Manpower!$C$4:$C$1048576,[1]Manpower!$H$4:$H$1048576,"")</f>
        <v>Manpower</v>
      </c>
      <c r="I158" s="3" t="str">
        <f>_xlfn.XLOOKUP([1]!Table134526_79101120212223242526[[#This Row],[Name Surname]],[1]Manpower!$C$4:$C$1048576,[1]Manpower!$H$4:$H$1048576,"")</f>
        <v>Manpower</v>
      </c>
      <c r="J158" s="5" t="s">
        <v>38</v>
      </c>
      <c r="K158" s="5" t="s">
        <v>7</v>
      </c>
      <c r="L158" s="5" t="s">
        <v>39</v>
      </c>
      <c r="M158" s="5" t="s">
        <v>18</v>
      </c>
      <c r="N158" s="6">
        <v>10</v>
      </c>
      <c r="O158" s="5"/>
      <c r="P158" s="5"/>
      <c r="Q158" s="5"/>
      <c r="R158" s="5" t="s">
        <v>60</v>
      </c>
      <c r="S158" s="8"/>
    </row>
    <row r="159" spans="1:19" x14ac:dyDescent="0.3">
      <c r="A159" s="9" t="e">
        <f>IF(C159="","",MAX($A$2:A158)+1)</f>
        <v>#REF!</v>
      </c>
      <c r="B159" s="17" t="s">
        <v>36</v>
      </c>
      <c r="C159" s="11">
        <v>46088</v>
      </c>
      <c r="D159" s="13" t="str">
        <f>_xlfn.XLOOKUP([1]!Table134526_79101120212223242526[[#This Row],[Name Surname]],[1]Manpower!$C$4:$C$1048576,[1]Manpower!$B$4:$B$1048576,"")</f>
        <v>Encogroup</v>
      </c>
      <c r="E159" s="13" t="s">
        <v>43</v>
      </c>
      <c r="F159" s="12">
        <f>_xlfn.XLOOKUP([1]!Table134526_79101120212223242526[[#This Row],[Name Surname]],[1]Manpower!C:C,[1]Manpower!D:D,)</f>
        <v>140806218</v>
      </c>
      <c r="G159" s="13" t="str">
        <f>_xlfn.XLOOKUP([1]!Table134526_79101120212223242526[[#This Row],[Name Surname]],[1]Manpower!$C$4:$C$1048576,[1]Manpower!$F$4:$F$1048576,"")</f>
        <v>Fitter/Erector</v>
      </c>
      <c r="H159" s="13" t="str">
        <f>_xlfn.XLOOKUP([1]!Table134526_79101120212223242526[[#This Row],[Name Surname]],[1]Manpower!$C$4:$C$1048576,[1]Manpower!$H$4:$H$1048576,"")</f>
        <v>Manpower</v>
      </c>
      <c r="I159" s="11" t="str">
        <f>_xlfn.XLOOKUP([1]!Table134526_79101120212223242526[[#This Row],[Name Surname]],[1]Manpower!$C$4:$C$1048576,[1]Manpower!$H$4:$H$1048576,"")</f>
        <v>Manpower</v>
      </c>
      <c r="J159" s="13" t="s">
        <v>38</v>
      </c>
      <c r="K159" s="13" t="s">
        <v>7</v>
      </c>
      <c r="L159" s="13" t="s">
        <v>39</v>
      </c>
      <c r="M159" s="13" t="s">
        <v>18</v>
      </c>
      <c r="N159" s="14">
        <v>10</v>
      </c>
      <c r="O159" s="13"/>
      <c r="P159" s="13"/>
      <c r="Q159" s="13"/>
      <c r="R159" s="13" t="s">
        <v>60</v>
      </c>
      <c r="S159" s="15"/>
    </row>
    <row r="160" spans="1:19" x14ac:dyDescent="0.3">
      <c r="A160" s="1" t="e">
        <f>IF(C160="","",MAX($A$2:A159)+1)</f>
        <v>#REF!</v>
      </c>
      <c r="B160" s="17" t="s">
        <v>36</v>
      </c>
      <c r="C160" s="3">
        <v>46088</v>
      </c>
      <c r="D160" s="5" t="str">
        <f>_xlfn.XLOOKUP([1]!Table134526_79101120212223242526[[#This Row],[Name Surname]],[1]Manpower!$C$4:$C$1048576,[1]Manpower!$B$4:$B$1048576,"")</f>
        <v>Encogroup</v>
      </c>
      <c r="E160" s="5" t="s">
        <v>45</v>
      </c>
      <c r="F160" s="4">
        <f>_xlfn.XLOOKUP([1]!Table134526_79101120212223242526[[#This Row],[Name Surname]],[1]Manpower!C:C,[1]Manpower!D:D,)</f>
        <v>140844618</v>
      </c>
      <c r="G160" s="5" t="str">
        <f>_xlfn.XLOOKUP([1]!Table134526_79101120212223242526[[#This Row],[Name Surname]],[1]Manpower!$C$4:$C$1048576,[1]Manpower!$F$4:$F$1048576,"")</f>
        <v>Assistant/Helper</v>
      </c>
      <c r="H160" s="5" t="str">
        <f>_xlfn.XLOOKUP([1]!Table134526_79101120212223242526[[#This Row],[Name Surname]],[1]Manpower!$C$4:$C$1048576,[1]Manpower!$H$4:$H$1048576,"")</f>
        <v>Manpower</v>
      </c>
      <c r="I160" s="3" t="str">
        <f>_xlfn.XLOOKUP([1]!Table134526_79101120212223242526[[#This Row],[Name Surname]],[1]Manpower!$C$4:$C$1048576,[1]Manpower!$H$4:$H$1048576,"")</f>
        <v>Manpower</v>
      </c>
      <c r="J160" s="5" t="s">
        <v>38</v>
      </c>
      <c r="K160" s="5" t="s">
        <v>7</v>
      </c>
      <c r="L160" s="5" t="s">
        <v>39</v>
      </c>
      <c r="M160" s="5" t="s">
        <v>18</v>
      </c>
      <c r="N160" s="6">
        <v>10</v>
      </c>
      <c r="O160" s="5"/>
      <c r="P160" s="5"/>
      <c r="Q160" s="5"/>
      <c r="R160" s="5" t="s">
        <v>60</v>
      </c>
      <c r="S160" s="8"/>
    </row>
    <row r="161" spans="1:19" x14ac:dyDescent="0.3">
      <c r="A161" s="9" t="e">
        <f>IF(C161="","",MAX($A$2:A160)+1)</f>
        <v>#REF!</v>
      </c>
      <c r="B161" s="17" t="s">
        <v>36</v>
      </c>
      <c r="C161" s="11">
        <v>46088</v>
      </c>
      <c r="D161" s="13" t="str">
        <f>_xlfn.XLOOKUP([1]!Table134526_79101120212223242526[[#This Row],[Name Surname]],[1]Manpower!$C$4:$C$1048576,[1]Manpower!$B$4:$B$1048576,"")</f>
        <v>Bright Light</v>
      </c>
      <c r="E161" s="13" t="s">
        <v>46</v>
      </c>
      <c r="F161" s="12" t="e">
        <f>_xlfn.XLOOKUP([1]!Table134526_79101120212223242526[[#This Row],[Name Surname]],[1]Manpower!C:C,[1]Manpower!D:D,)</f>
        <v>#N/A</v>
      </c>
      <c r="G161" s="13" t="str">
        <f>_xlfn.XLOOKUP([1]!Table134526_79101120212223242526[[#This Row],[Name Surname]],[1]Manpower!$C$4:$C$1048576,[1]Manpower!$F$4:$F$1048576,"")</f>
        <v>100T Telescopic Crane</v>
      </c>
      <c r="H161" s="13" t="str">
        <f>_xlfn.XLOOKUP([1]!Table134526_79101120212223242526[[#This Row],[Name Surname]],[1]Manpower!$C$4:$C$1048576,[1]Manpower!$H$4:$H$1048576,"")</f>
        <v>Equipment</v>
      </c>
      <c r="I161" s="11" t="str">
        <f>_xlfn.XLOOKUP([1]!Table134526_79101120212223242526[[#This Row],[Name Surname]],[1]Manpower!$C$4:$C$1048576,[1]Manpower!$H$4:$H$1048576,"")</f>
        <v>Equipment</v>
      </c>
      <c r="J161" s="13" t="s">
        <v>38</v>
      </c>
      <c r="K161" s="13" t="s">
        <v>7</v>
      </c>
      <c r="L161" s="13" t="s">
        <v>39</v>
      </c>
      <c r="M161" s="13" t="s">
        <v>18</v>
      </c>
      <c r="N161" s="14">
        <v>10</v>
      </c>
      <c r="O161" s="13"/>
      <c r="P161" s="13"/>
      <c r="Q161" s="13"/>
      <c r="R161" s="13" t="s">
        <v>60</v>
      </c>
      <c r="S161" s="15"/>
    </row>
    <row r="162" spans="1:19" x14ac:dyDescent="0.3">
      <c r="A162" s="1" t="e">
        <f>IF(C162="","",MAX($A$2:A161)+1)</f>
        <v>#REF!</v>
      </c>
      <c r="B162" s="17" t="s">
        <v>36</v>
      </c>
      <c r="C162" s="3">
        <v>46088</v>
      </c>
      <c r="D162" s="5" t="str">
        <f>_xlfn.XLOOKUP([1]!Table134526_79101120212223242526[[#This Row],[Name Surname]],[1]Manpower!$C$4:$C$1048576,[1]Manpower!$B$4:$B$1048576,"")</f>
        <v>Bright Light</v>
      </c>
      <c r="E162" s="5" t="s">
        <v>48</v>
      </c>
      <c r="F162" s="4" t="e">
        <f>_xlfn.XLOOKUP([1]!Table134526_79101120212223242526[[#This Row],[Name Surname]],[1]Manpower!C:C,[1]Manpower!D:D,)</f>
        <v>#N/A</v>
      </c>
      <c r="G162" s="5" t="str">
        <f>_xlfn.XLOOKUP([1]!Table134526_79101120212223242526[[#This Row],[Name Surname]],[1]Manpower!$C$4:$C$1048576,[1]Manpower!$F$4:$F$1048576,"")</f>
        <v>150T-Crawler Crane</v>
      </c>
      <c r="H162" s="5" t="str">
        <f>_xlfn.XLOOKUP([1]!Table134526_79101120212223242526[[#This Row],[Name Surname]],[1]Manpower!$C$4:$C$1048576,[1]Manpower!$H$4:$H$1048576,"")</f>
        <v>Equipment</v>
      </c>
      <c r="I162" s="3" t="str">
        <f>_xlfn.XLOOKUP([1]!Table134526_79101120212223242526[[#This Row],[Name Surname]],[1]Manpower!$C$4:$C$1048576,[1]Manpower!$H$4:$H$1048576,"")</f>
        <v>Equipment</v>
      </c>
      <c r="J162" s="5" t="s">
        <v>38</v>
      </c>
      <c r="K162" s="5" t="s">
        <v>7</v>
      </c>
      <c r="L162" s="5" t="s">
        <v>39</v>
      </c>
      <c r="M162" s="5" t="s">
        <v>18</v>
      </c>
      <c r="N162" s="6">
        <v>10</v>
      </c>
      <c r="O162" s="5"/>
      <c r="P162" s="5"/>
      <c r="Q162" s="5"/>
      <c r="R162" s="5" t="s">
        <v>60</v>
      </c>
      <c r="S162" s="8"/>
    </row>
    <row r="163" spans="1:19" x14ac:dyDescent="0.3">
      <c r="A163" s="9" t="e">
        <f>IF(C163="","",MAX($A$2:A162)+1)</f>
        <v>#REF!</v>
      </c>
      <c r="B163" s="17" t="s">
        <v>36</v>
      </c>
      <c r="C163" s="11">
        <v>46088</v>
      </c>
      <c r="D163" s="13" t="str">
        <f>_xlfn.XLOOKUP([1]!Table134526_79101120212223242526[[#This Row],[Name Surname]],[1]Manpower!$C$4:$C$1048576,[1]Manpower!$B$4:$B$1048576,"")</f>
        <v>Encogroup</v>
      </c>
      <c r="E163" s="13" t="s">
        <v>49</v>
      </c>
      <c r="F163" s="12" t="e">
        <f>_xlfn.XLOOKUP([1]!Table134526_79101120212223242526[[#This Row],[Name Surname]],[1]Manpower!C:C,[1]Manpower!D:D,)</f>
        <v>#N/A</v>
      </c>
      <c r="G163" s="13" t="str">
        <f>_xlfn.XLOOKUP([1]!Table134526_79101120212223242526[[#This Row],[Name Surname]],[1]Manpower!$C$4:$C$1048576,[1]Manpower!$F$4:$F$1048576,"")</f>
        <v>22M-Manlift</v>
      </c>
      <c r="H163" s="13" t="str">
        <f>_xlfn.XLOOKUP([1]!Table134526_79101120212223242526[[#This Row],[Name Surname]],[1]Manpower!$C$4:$C$1048576,[1]Manpower!$H$4:$H$1048576,"")</f>
        <v>Equipment</v>
      </c>
      <c r="I163" s="11" t="str">
        <f>_xlfn.XLOOKUP([1]!Table134526_79101120212223242526[[#This Row],[Name Surname]],[1]Manpower!$C$4:$C$1048576,[1]Manpower!$H$4:$H$1048576,"")</f>
        <v>Equipment</v>
      </c>
      <c r="J163" s="13" t="s">
        <v>38</v>
      </c>
      <c r="K163" s="13" t="s">
        <v>7</v>
      </c>
      <c r="L163" s="13" t="s">
        <v>39</v>
      </c>
      <c r="M163" s="13" t="s">
        <v>18</v>
      </c>
      <c r="N163" s="14">
        <v>10</v>
      </c>
      <c r="O163" s="13"/>
      <c r="P163" s="13"/>
      <c r="Q163" s="13"/>
      <c r="R163" s="13" t="s">
        <v>60</v>
      </c>
      <c r="S163" s="15"/>
    </row>
    <row r="164" spans="1:19" x14ac:dyDescent="0.3">
      <c r="A164" s="1" t="e">
        <f>IF(C164="","",MAX($A$2:A163)+1)</f>
        <v>#REF!</v>
      </c>
      <c r="B164" s="17" t="s">
        <v>36</v>
      </c>
      <c r="C164" s="3">
        <v>46088</v>
      </c>
      <c r="D164" s="5" t="str">
        <f>_xlfn.XLOOKUP([1]!Table134526_79101120212223242526[[#This Row],[Name Surname]],[1]Manpower!$C$4:$C$1048576,[1]Manpower!$B$4:$B$1048576,"")</f>
        <v>Encogroup</v>
      </c>
      <c r="E164" s="5" t="s">
        <v>50</v>
      </c>
      <c r="F164" s="4" t="e">
        <f>_xlfn.XLOOKUP([1]!Table134526_79101120212223242526[[#This Row],[Name Surname]],[1]Manpower!C:C,[1]Manpower!D:D,)</f>
        <v>#N/A</v>
      </c>
      <c r="G164" s="5" t="str">
        <f>_xlfn.XLOOKUP([1]!Table134526_79101120212223242526[[#This Row],[Name Surname]],[1]Manpower!$C$4:$C$1048576,[1]Manpower!$F$4:$F$1048576,"")</f>
        <v>28M-Manlift</v>
      </c>
      <c r="H164" s="5" t="str">
        <f>_xlfn.XLOOKUP([1]!Table134526_79101120212223242526[[#This Row],[Name Surname]],[1]Manpower!$C$4:$C$1048576,[1]Manpower!$H$4:$H$1048576,"")</f>
        <v>Equipment</v>
      </c>
      <c r="I164" s="3" t="str">
        <f>_xlfn.XLOOKUP([1]!Table134526_79101120212223242526[[#This Row],[Name Surname]],[1]Manpower!$C$4:$C$1048576,[1]Manpower!$H$4:$H$1048576,"")</f>
        <v>Equipment</v>
      </c>
      <c r="J164" s="5" t="s">
        <v>38</v>
      </c>
      <c r="K164" s="5" t="s">
        <v>7</v>
      </c>
      <c r="L164" s="5" t="s">
        <v>39</v>
      </c>
      <c r="M164" s="5" t="s">
        <v>5</v>
      </c>
      <c r="N164" s="6">
        <v>10</v>
      </c>
      <c r="O164" s="5"/>
      <c r="P164" s="5"/>
      <c r="Q164" s="5"/>
      <c r="R164" s="5" t="s">
        <v>60</v>
      </c>
      <c r="S164" s="8"/>
    </row>
    <row r="165" spans="1:19" x14ac:dyDescent="0.3">
      <c r="A165" s="9" t="e">
        <f>IF(C165="","",MAX($A$2:A164)+1)</f>
        <v>#REF!</v>
      </c>
      <c r="B165" s="17" t="s">
        <v>36</v>
      </c>
      <c r="C165" s="11">
        <v>46088</v>
      </c>
      <c r="D165" s="13" t="str">
        <f>_xlfn.XLOOKUP([1]!Table134526_79101120212223242526[[#This Row],[Name Surname]],[1]Manpower!$C$4:$C$1048576,[1]Manpower!$B$4:$B$1048576,"")</f>
        <v>Encogroup</v>
      </c>
      <c r="E165" s="11" t="s">
        <v>51</v>
      </c>
      <c r="F165" s="12">
        <f>_xlfn.XLOOKUP([1]!Table134526_79101120212223242526[[#This Row],[Name Surname]],[1]Manpower!C:C,[1]Manpower!D:D,)</f>
        <v>140693697</v>
      </c>
      <c r="G165" s="13" t="str">
        <f>_xlfn.XLOOKUP([1]!Table134526_79101120212223242526[[#This Row],[Name Surname]],[1]Manpower!$C$4:$C$1048576,[1]Manpower!$F$4:$F$1048576,"")</f>
        <v>HSE Officer</v>
      </c>
      <c r="H165" s="13" t="str">
        <f>_xlfn.XLOOKUP([1]!Table134526_79101120212223242526[[#This Row],[Name Surname]],[1]Manpower!$C$4:$C$1048576,[1]Manpower!$H$4:$H$1048576,"")</f>
        <v>Manpower</v>
      </c>
      <c r="I165" s="11" t="str">
        <f>_xlfn.XLOOKUP([1]!Table134526_79101120212223242526[[#This Row],[Name Surname]],[1]Manpower!$C$4:$C$1048576,[1]Manpower!$H$4:$H$1048576,"")</f>
        <v>Manpower</v>
      </c>
      <c r="J165" s="13" t="s">
        <v>38</v>
      </c>
      <c r="K165" s="13" t="s">
        <v>7</v>
      </c>
      <c r="L165" s="13" t="s">
        <v>39</v>
      </c>
      <c r="M165" s="13" t="s">
        <v>18</v>
      </c>
      <c r="N165" s="14">
        <v>10</v>
      </c>
      <c r="O165" s="13"/>
      <c r="P165" s="13"/>
      <c r="Q165" s="13"/>
      <c r="R165" s="13" t="s">
        <v>60</v>
      </c>
      <c r="S165" s="15"/>
    </row>
    <row r="166" spans="1:19" x14ac:dyDescent="0.3">
      <c r="A166" s="1" t="e">
        <f>IF(C166="","",MAX($A$2:A165)+1)</f>
        <v>#REF!</v>
      </c>
      <c r="B166" s="17" t="s">
        <v>36</v>
      </c>
      <c r="C166" s="3">
        <v>46088</v>
      </c>
      <c r="D166" s="5" t="str">
        <f>_xlfn.XLOOKUP([1]!Table134526_79101120212223242526[[#This Row],[Name Surname]],[1]Manpower!$C$4:$C$1048576,[1]Manpower!$B$4:$B$1048576,"")</f>
        <v>Encogroup</v>
      </c>
      <c r="E166" s="3" t="s">
        <v>52</v>
      </c>
      <c r="F166" s="4">
        <f>_xlfn.XLOOKUP([1]!Table134526_79101120212223242526[[#This Row],[Name Surname]],[1]Manpower!C:C,[1]Manpower!D:D,)</f>
        <v>127414586</v>
      </c>
      <c r="G166" s="5" t="str">
        <f>_xlfn.XLOOKUP([1]!Table134526_79101120212223242526[[#This Row],[Name Surname]],[1]Manpower!$C$4:$C$1048576,[1]Manpower!$F$4:$F$1048576,"")</f>
        <v>Electrician</v>
      </c>
      <c r="H166" s="5" t="str">
        <f>_xlfn.XLOOKUP([1]!Table134526_79101120212223242526[[#This Row],[Name Surname]],[1]Manpower!$C$4:$C$1048576,[1]Manpower!$H$4:$H$1048576,"")</f>
        <v>Manpower</v>
      </c>
      <c r="I166" s="3" t="str">
        <f>_xlfn.XLOOKUP([1]!Table134526_79101120212223242526[[#This Row],[Name Surname]],[1]Manpower!$C$4:$C$1048576,[1]Manpower!$H$4:$H$1048576,"")</f>
        <v>Manpower</v>
      </c>
      <c r="J166" s="5" t="s">
        <v>38</v>
      </c>
      <c r="K166" s="5" t="s">
        <v>7</v>
      </c>
      <c r="L166" s="5" t="s">
        <v>39</v>
      </c>
      <c r="M166" s="5" t="s">
        <v>18</v>
      </c>
      <c r="N166" s="6">
        <v>10</v>
      </c>
      <c r="O166" s="5"/>
      <c r="P166" s="5"/>
      <c r="Q166" s="5"/>
      <c r="R166" s="5" t="s">
        <v>60</v>
      </c>
      <c r="S166" s="8"/>
    </row>
    <row r="167" spans="1:19" x14ac:dyDescent="0.3">
      <c r="A167" s="9" t="e">
        <f>IF(C167="","",MAX($A$2:A166)+1)</f>
        <v>#REF!</v>
      </c>
      <c r="B167" s="17" t="s">
        <v>36</v>
      </c>
      <c r="C167" s="11">
        <v>46088</v>
      </c>
      <c r="D167" s="13" t="str">
        <f>_xlfn.XLOOKUP([1]!Table134526_79101120212223242526[[#This Row],[Name Surname]],[1]Manpower!$C$4:$C$1048576,[1]Manpower!$B$4:$B$1048576,"")</f>
        <v>Encogroup</v>
      </c>
      <c r="E167" s="13" t="s">
        <v>53</v>
      </c>
      <c r="F167" s="12">
        <f>_xlfn.XLOOKUP([1]!Table134526_79101120212223242526[[#This Row],[Name Surname]],[1]Manpower!C:C,[1]Manpower!D:D,)</f>
        <v>141169085</v>
      </c>
      <c r="G167" s="13" t="str">
        <f>_xlfn.XLOOKUP([1]!Table134526_79101120212223242526[[#This Row],[Name Surname]],[1]Manpower!$C$4:$C$1048576,[1]Manpower!$F$4:$F$1048576,"")</f>
        <v>Welder</v>
      </c>
      <c r="H167" s="13" t="str">
        <f>_xlfn.XLOOKUP([1]!Table134526_79101120212223242526[[#This Row],[Name Surname]],[1]Manpower!$C$4:$C$1048576,[1]Manpower!$H$4:$H$1048576,"")</f>
        <v>Manpower</v>
      </c>
      <c r="I167" s="11" t="str">
        <f>_xlfn.XLOOKUP([1]!Table134526_79101120212223242526[[#This Row],[Name Surname]],[1]Manpower!$C$4:$C$1048576,[1]Manpower!$H$4:$H$1048576,"")</f>
        <v>Manpower</v>
      </c>
      <c r="J167" s="13" t="s">
        <v>38</v>
      </c>
      <c r="K167" s="13" t="s">
        <v>7</v>
      </c>
      <c r="L167" s="13" t="s">
        <v>39</v>
      </c>
      <c r="M167" s="13" t="s">
        <v>18</v>
      </c>
      <c r="N167" s="14">
        <v>10</v>
      </c>
      <c r="O167" s="13"/>
      <c r="P167" s="13"/>
      <c r="Q167" s="13"/>
      <c r="R167" s="13" t="s">
        <v>60</v>
      </c>
      <c r="S167" s="15"/>
    </row>
    <row r="168" spans="1:19" x14ac:dyDescent="0.3">
      <c r="A168" s="1" t="e">
        <f>IF(C168="","",MAX($A$2:A167)+1)</f>
        <v>#REF!</v>
      </c>
      <c r="B168" s="17" t="s">
        <v>36</v>
      </c>
      <c r="C168" s="3">
        <v>46088</v>
      </c>
      <c r="D168" s="5" t="str">
        <f>_xlfn.XLOOKUP([1]!Table134526_79101120212223242526[[#This Row],[Name Surname]],[1]Manpower!$C$4:$C$1048576,[1]Manpower!$B$4:$B$1048576,"")</f>
        <v>Encogroup</v>
      </c>
      <c r="E168" s="5" t="s">
        <v>54</v>
      </c>
      <c r="F168" s="4">
        <f>_xlfn.XLOOKUP([1]!Table134526_79101120212223242526[[#This Row],[Name Surname]],[1]Manpower!C:C,[1]Manpower!D:D,)</f>
        <v>141169047</v>
      </c>
      <c r="G168" s="5" t="str">
        <f>_xlfn.XLOOKUP([1]!Table134526_79101120212223242526[[#This Row],[Name Surname]],[1]Manpower!$C$4:$C$1048576,[1]Manpower!$F$4:$F$1048576,"")</f>
        <v>Welder</v>
      </c>
      <c r="H168" s="5" t="str">
        <f>_xlfn.XLOOKUP([1]!Table134526_79101120212223242526[[#This Row],[Name Surname]],[1]Manpower!$C$4:$C$1048576,[1]Manpower!$H$4:$H$1048576,"")</f>
        <v>Manpower</v>
      </c>
      <c r="I168" s="3" t="str">
        <f>_xlfn.XLOOKUP([1]!Table134526_79101120212223242526[[#This Row],[Name Surname]],[1]Manpower!$C$4:$C$1048576,[1]Manpower!$H$4:$H$1048576,"")</f>
        <v>Manpower</v>
      </c>
      <c r="J168" s="5" t="s">
        <v>38</v>
      </c>
      <c r="K168" s="5" t="s">
        <v>7</v>
      </c>
      <c r="L168" s="5" t="s">
        <v>39</v>
      </c>
      <c r="M168" s="5" t="s">
        <v>18</v>
      </c>
      <c r="N168" s="6">
        <v>10</v>
      </c>
      <c r="O168" s="5"/>
      <c r="P168" s="5"/>
      <c r="Q168" s="5"/>
      <c r="R168" s="5" t="s">
        <v>60</v>
      </c>
      <c r="S168" s="8"/>
    </row>
    <row r="169" spans="1:19" x14ac:dyDescent="0.3">
      <c r="A169" s="9" t="e">
        <f>IF(C169="","",MAX($A$2:A168)+1)</f>
        <v>#REF!</v>
      </c>
      <c r="B169" s="17" t="s">
        <v>36</v>
      </c>
      <c r="C169" s="11">
        <v>46088</v>
      </c>
      <c r="D169" s="13" t="str">
        <f>_xlfn.XLOOKUP([1]!Table134526_79101120212223242526[[#This Row],[Name Surname]],[1]Manpower!$C$4:$C$1048576,[1]Manpower!$B$4:$B$1048576,"")</f>
        <v>Encogroup</v>
      </c>
      <c r="E169" s="13" t="s">
        <v>55</v>
      </c>
      <c r="F169" s="12">
        <f>_xlfn.XLOOKUP([1]!Table134526_79101120212223242526[[#This Row],[Name Surname]],[1]Manpower!C:C,[1]Manpower!D:D,)</f>
        <v>140844797</v>
      </c>
      <c r="G169" s="13" t="str">
        <f>_xlfn.XLOOKUP([1]!Table134526_79101120212223242526[[#This Row],[Name Surname]],[1]Manpower!$C$4:$C$1048576,[1]Manpower!$F$4:$F$1048576,"")</f>
        <v>Fitter/Erector</v>
      </c>
      <c r="H169" s="13" t="str">
        <f>_xlfn.XLOOKUP([1]!Table134526_79101120212223242526[[#This Row],[Name Surname]],[1]Manpower!$C$4:$C$1048576,[1]Manpower!$H$4:$H$1048576,"")</f>
        <v>Manpower</v>
      </c>
      <c r="I169" s="11" t="str">
        <f>_xlfn.XLOOKUP([1]!Table134526_79101120212223242526[[#This Row],[Name Surname]],[1]Manpower!$C$4:$C$1048576,[1]Manpower!$H$4:$H$1048576,"")</f>
        <v>Manpower</v>
      </c>
      <c r="J169" s="13" t="s">
        <v>38</v>
      </c>
      <c r="K169" s="13" t="s">
        <v>7</v>
      </c>
      <c r="L169" s="13" t="s">
        <v>39</v>
      </c>
      <c r="M169" s="13" t="s">
        <v>18</v>
      </c>
      <c r="N169" s="14">
        <v>10</v>
      </c>
      <c r="O169" s="13"/>
      <c r="P169" s="13"/>
      <c r="Q169" s="13"/>
      <c r="R169" s="13" t="s">
        <v>60</v>
      </c>
      <c r="S169" s="15"/>
    </row>
    <row r="170" spans="1:19" x14ac:dyDescent="0.3">
      <c r="A170" s="1" t="e">
        <f>IF(C170="","",MAX($A$2:A169)+1)</f>
        <v>#REF!</v>
      </c>
      <c r="B170" s="17" t="s">
        <v>36</v>
      </c>
      <c r="C170" s="3">
        <v>46088</v>
      </c>
      <c r="D170" s="5" t="str">
        <f>_xlfn.XLOOKUP([1]!Table134526_79101120212223242526[[#This Row],[Name Surname]],[1]Manpower!$C$4:$C$1048576,[1]Manpower!$B$4:$B$1048576,"")</f>
        <v>Encogroup</v>
      </c>
      <c r="E170" s="5" t="s">
        <v>56</v>
      </c>
      <c r="F170" s="4" t="e">
        <f>_xlfn.XLOOKUP([1]!Table134526_79101120212223242526[[#This Row],[Name Surname]],[1]Manpower!C:C,[1]Manpower!D:D,)</f>
        <v>#N/A</v>
      </c>
      <c r="G170" s="5" t="str">
        <f>_xlfn.XLOOKUP([1]!Table134526_79101120212223242526[[#This Row],[Name Surname]],[1]Manpower!$C$4:$C$1048576,[1]Manpower!$F$4:$F$1048576,"")</f>
        <v>22KVA-Generator</v>
      </c>
      <c r="H170" s="5" t="str">
        <f>_xlfn.XLOOKUP([1]!Table134526_79101120212223242526[[#This Row],[Name Surname]],[1]Manpower!$C$4:$C$1048576,[1]Manpower!$H$4:$H$1048576,"")</f>
        <v>Equipment</v>
      </c>
      <c r="I170" s="3" t="str">
        <f>_xlfn.XLOOKUP([1]!Table134526_79101120212223242526[[#This Row],[Name Surname]],[1]Manpower!$C$4:$C$1048576,[1]Manpower!$H$4:$H$1048576,"")</f>
        <v>Equipment</v>
      </c>
      <c r="J170" s="5" t="s">
        <v>38</v>
      </c>
      <c r="K170" s="5" t="s">
        <v>7</v>
      </c>
      <c r="L170" s="5" t="s">
        <v>39</v>
      </c>
      <c r="M170" s="5" t="s">
        <v>18</v>
      </c>
      <c r="N170" s="6">
        <v>10</v>
      </c>
      <c r="O170" s="5"/>
      <c r="P170" s="5"/>
      <c r="Q170" s="5"/>
      <c r="R170" s="5" t="s">
        <v>60</v>
      </c>
      <c r="S170" s="8"/>
    </row>
    <row r="171" spans="1:19" x14ac:dyDescent="0.3">
      <c r="A171" s="9" t="e">
        <f>IF(C171="","",MAX($A$2:A170)+1)</f>
        <v>#REF!</v>
      </c>
      <c r="B171" s="17" t="s">
        <v>36</v>
      </c>
      <c r="C171" s="11">
        <v>46088</v>
      </c>
      <c r="D171" s="13" t="str">
        <f>_xlfn.XLOOKUP([1]!Table134526_79101120212223242526[[#This Row],[Name Surname]],[1]Manpower!$C$4:$C$1048576,[1]Manpower!$B$4:$B$1048576,"")</f>
        <v>Bright Light</v>
      </c>
      <c r="E171" s="13" t="s">
        <v>57</v>
      </c>
      <c r="F171" s="12">
        <f>_xlfn.XLOOKUP([1]!Table134526_79101120212223242526[[#This Row],[Name Surname]],[1]Manpower!C:C,[1]Manpower!D:D,)</f>
        <v>114531608</v>
      </c>
      <c r="G171" s="13" t="str">
        <f>_xlfn.XLOOKUP([1]!Table134526_79101120212223242526[[#This Row],[Name Surname]],[1]Manpower!$C$4:$C$1048576,[1]Manpower!$F$4:$F$1048576,"")</f>
        <v>Crane Operator-150T Sany Crawler</v>
      </c>
      <c r="H171" s="13" t="str">
        <f>_xlfn.XLOOKUP([1]!Table134526_79101120212223242526[[#This Row],[Name Surname]],[1]Manpower!$C$4:$C$1048576,[1]Manpower!$H$4:$H$1048576,"")</f>
        <v>Manpower</v>
      </c>
      <c r="I171" s="11" t="str">
        <f>_xlfn.XLOOKUP([1]!Table134526_79101120212223242526[[#This Row],[Name Surname]],[1]Manpower!$C$4:$C$1048576,[1]Manpower!$H$4:$H$1048576,"")</f>
        <v>Manpower</v>
      </c>
      <c r="J171" s="13" t="s">
        <v>38</v>
      </c>
      <c r="K171" s="13" t="s">
        <v>7</v>
      </c>
      <c r="L171" s="13" t="s">
        <v>39</v>
      </c>
      <c r="M171" s="13" t="s">
        <v>18</v>
      </c>
      <c r="N171" s="14">
        <v>10</v>
      </c>
      <c r="O171" s="13"/>
      <c r="P171" s="13"/>
      <c r="Q171" s="13"/>
      <c r="R171" s="13" t="s">
        <v>60</v>
      </c>
      <c r="S171" s="15"/>
    </row>
    <row r="172" spans="1:19" x14ac:dyDescent="0.3">
      <c r="A172" s="1" t="e">
        <f>IF(C172="","",MAX($A$2:A171)+1)</f>
        <v>#REF!</v>
      </c>
      <c r="B172" s="17" t="s">
        <v>36</v>
      </c>
      <c r="C172" s="3">
        <v>46088</v>
      </c>
      <c r="D172" s="5" t="str">
        <f>_xlfn.XLOOKUP([1]!Table134526_79101120212223242526[[#This Row],[Name Surname]],[1]Manpower!$C$4:$C$1048576,[1]Manpower!$B$4:$B$1048576,"")</f>
        <v>AL Saif &amp; Al QALLM ENT LLC</v>
      </c>
      <c r="E172" s="3" t="s">
        <v>58</v>
      </c>
      <c r="F172" s="4">
        <f>_xlfn.XLOOKUP([1]!Table134526_79101120212223242526[[#This Row],[Name Surname]],[1]Manpower!C:C,[1]Manpower!D:D,)</f>
        <v>108478006</v>
      </c>
      <c r="G172" s="5" t="str">
        <f>_xlfn.XLOOKUP([1]!Table134526_79101120212223242526[[#This Row],[Name Surname]],[1]Manpower!$C$4:$C$1048576,[1]Manpower!$F$4:$F$1048576,"")</f>
        <v>RIgger</v>
      </c>
      <c r="H172" s="5" t="str">
        <f>_xlfn.XLOOKUP([1]!Table134526_79101120212223242526[[#This Row],[Name Surname]],[1]Manpower!$C$4:$C$1048576,[1]Manpower!$H$4:$H$1048576,"")</f>
        <v>Sub Contactor</v>
      </c>
      <c r="I172" s="3" t="str">
        <f>_xlfn.XLOOKUP([1]!Table134526_79101120212223242526[[#This Row],[Name Surname]],[1]Manpower!$C$4:$C$1048576,[1]Manpower!$H$4:$H$1048576,"")</f>
        <v>Sub Contactor</v>
      </c>
      <c r="J172" s="5" t="s">
        <v>38</v>
      </c>
      <c r="K172" s="5" t="s">
        <v>7</v>
      </c>
      <c r="L172" s="5" t="s">
        <v>39</v>
      </c>
      <c r="M172" s="5" t="s">
        <v>18</v>
      </c>
      <c r="N172" s="6">
        <v>10</v>
      </c>
      <c r="O172" s="5"/>
      <c r="P172" s="5"/>
      <c r="Q172" s="5"/>
      <c r="R172" s="5" t="s">
        <v>60</v>
      </c>
      <c r="S172" s="8"/>
    </row>
    <row r="173" spans="1:19" x14ac:dyDescent="0.3">
      <c r="A173" s="9" t="e">
        <f>IF(C173="","",MAX($A$2:A172)+1)</f>
        <v>#REF!</v>
      </c>
      <c r="B173" s="17" t="s">
        <v>36</v>
      </c>
      <c r="C173" s="11">
        <v>46088</v>
      </c>
      <c r="D173" s="13" t="str">
        <f>_xlfn.XLOOKUP([1]!Table134526_79101120212223242526[[#This Row],[Name Surname]],[1]Manpower!$C$4:$C$1048576,[1]Manpower!$B$4:$B$1048576,"")</f>
        <v>AL Omar International TRAD AND CONT</v>
      </c>
      <c r="E173" s="11" t="s">
        <v>59</v>
      </c>
      <c r="F173" s="12">
        <f>_xlfn.XLOOKUP([1]!Table134526_79101120212223242526[[#This Row],[Name Surname]],[1]Manpower!C:C,[1]Manpower!D:D,)</f>
        <v>115018512</v>
      </c>
      <c r="G173" s="13" t="str">
        <f>_xlfn.XLOOKUP([1]!Table134526_79101120212223242526[[#This Row],[Name Surname]],[1]Manpower!$C$4:$C$1048576,[1]Manpower!$F$4:$F$1048576,"")</f>
        <v>RIgger</v>
      </c>
      <c r="H173" s="13" t="str">
        <f>_xlfn.XLOOKUP([1]!Table134526_79101120212223242526[[#This Row],[Name Surname]],[1]Manpower!$C$4:$C$1048576,[1]Manpower!$H$4:$H$1048576,"")</f>
        <v>Sub Contactor</v>
      </c>
      <c r="I173" s="11" t="str">
        <f>_xlfn.XLOOKUP([1]!Table134526_79101120212223242526[[#This Row],[Name Surname]],[1]Manpower!$C$4:$C$1048576,[1]Manpower!$H$4:$H$1048576,"")</f>
        <v>Sub Contactor</v>
      </c>
      <c r="J173" s="13" t="s">
        <v>38</v>
      </c>
      <c r="K173" s="13" t="s">
        <v>7</v>
      </c>
      <c r="L173" s="13" t="s">
        <v>39</v>
      </c>
      <c r="M173" s="13" t="s">
        <v>18</v>
      </c>
      <c r="N173" s="14">
        <v>10</v>
      </c>
      <c r="O173" s="13"/>
      <c r="P173" s="13"/>
      <c r="Q173" s="13"/>
      <c r="R173" s="13" t="s">
        <v>60</v>
      </c>
      <c r="S173" s="15"/>
    </row>
    <row r="174" spans="1:19" x14ac:dyDescent="0.3">
      <c r="A174" s="1" t="e">
        <f>IF(C174="","",MAX($A$2:A173)+1)</f>
        <v>#REF!</v>
      </c>
      <c r="B174" s="19" t="s">
        <v>0</v>
      </c>
      <c r="C174" s="3">
        <v>46089</v>
      </c>
      <c r="D174" s="5" t="str">
        <f>_xlfn.XLOOKUP([1]!Table134526_79101120212223242526[[#This Row],[Name Surname]],[1]Manpower!$C$4:$C$1048576,[1]Manpower!$B$4:$B$1048576,"")</f>
        <v>Encogroup</v>
      </c>
      <c r="E174" s="5" t="s">
        <v>1</v>
      </c>
      <c r="F174" s="4">
        <f>_xlfn.XLOOKUP([1]!Table134526_79101120212223242526[[#This Row],[Name Surname]],[1]Manpower!C:C,[1]Manpower!D:D,)</f>
        <v>122082769</v>
      </c>
      <c r="G174" s="5" t="str">
        <f>_xlfn.XLOOKUP([1]!Table134526_79101120212223242526[[#This Row],[Name Surname]],[1]Manpower!$C$4:$C$1048576,[1]Manpower!$F$4:$F$1048576,"")</f>
        <v>Grinder</v>
      </c>
      <c r="H174" s="5" t="str">
        <f>_xlfn.XLOOKUP([1]!Table134526_79101120212223242526[[#This Row],[Name Surname]],[1]Manpower!$C$4:$C$1048576,[1]Manpower!$H$4:$H$1048576,"")</f>
        <v>Manpower</v>
      </c>
      <c r="I174" s="3" t="str">
        <f>_xlfn.XLOOKUP([1]!Table134526_79101120212223242526[[#This Row],[Name Surname]],[1]Manpower!$C$4:$C$1048576,[1]Manpower!$H$4:$H$1048576,"")</f>
        <v>Manpower</v>
      </c>
      <c r="J174" s="5" t="s">
        <v>2</v>
      </c>
      <c r="K174" s="5" t="s">
        <v>64</v>
      </c>
      <c r="L174" s="5" t="s">
        <v>10</v>
      </c>
      <c r="M174" s="5" t="s">
        <v>5</v>
      </c>
      <c r="N174" s="6">
        <v>8</v>
      </c>
      <c r="O174" s="5" t="s">
        <v>11</v>
      </c>
      <c r="P174" s="5" t="s">
        <v>12</v>
      </c>
      <c r="Q174" s="5" t="s">
        <v>13</v>
      </c>
      <c r="R174" s="5" t="s">
        <v>7</v>
      </c>
      <c r="S174" s="8"/>
    </row>
    <row r="175" spans="1:19" x14ac:dyDescent="0.3">
      <c r="A175" s="9" t="e">
        <f>IF(C175="","",MAX($A$2:A174)+1)</f>
        <v>#REF!</v>
      </c>
      <c r="B175" s="10" t="s">
        <v>0</v>
      </c>
      <c r="C175" s="11">
        <v>46089</v>
      </c>
      <c r="D175" s="13" t="str">
        <f>_xlfn.XLOOKUP([1]!Table134526_79101120212223242526[[#This Row],[Name Surname]],[1]Manpower!$C$4:$C$1048576,[1]Manpower!$B$4:$B$1048576,"")</f>
        <v>Encogroup</v>
      </c>
      <c r="E175" s="11" t="s">
        <v>61</v>
      </c>
      <c r="F175" s="12">
        <f>_xlfn.XLOOKUP([1]!Table134526_79101120212223242526[[#This Row],[Name Surname]],[1]Manpower!C:C,[1]Manpower!D:D,)</f>
        <v>116915582</v>
      </c>
      <c r="G175" s="13" t="str">
        <f>_xlfn.XLOOKUP([1]!Table134526_79101120212223242526[[#This Row],[Name Surname]],[1]Manpower!$C$4:$C$1048576,[1]Manpower!$F$4:$F$1048576,"")</f>
        <v>Mechanical Superintendent</v>
      </c>
      <c r="H175" s="13" t="str">
        <f>_xlfn.XLOOKUP([1]!Table134526_79101120212223242526[[#This Row],[Name Surname]],[1]Manpower!$C$4:$C$1048576,[1]Manpower!$H$4:$H$1048576,"")</f>
        <v>Manpower</v>
      </c>
      <c r="I175" s="11" t="str">
        <f>_xlfn.XLOOKUP([1]!Table134526_79101120212223242526[[#This Row],[Name Surname]],[1]Manpower!$C$4:$C$1048576,[1]Manpower!$H$4:$H$1048576,"")</f>
        <v>Manpower</v>
      </c>
      <c r="J175" s="13" t="s">
        <v>9</v>
      </c>
      <c r="K175" s="13" t="s">
        <v>7</v>
      </c>
      <c r="L175" s="13" t="s">
        <v>10</v>
      </c>
      <c r="M175" s="13" t="s">
        <v>5</v>
      </c>
      <c r="N175" s="14">
        <v>10</v>
      </c>
      <c r="O175" s="13" t="s">
        <v>11</v>
      </c>
      <c r="P175" s="13" t="s">
        <v>12</v>
      </c>
      <c r="Q175" s="13" t="s">
        <v>13</v>
      </c>
      <c r="R175" s="13" t="s">
        <v>16</v>
      </c>
      <c r="S175" s="15"/>
    </row>
    <row r="176" spans="1:19" x14ac:dyDescent="0.3">
      <c r="A176" s="1" t="e">
        <f>IF(C176="","",MAX($A$2:A175)+1)</f>
        <v>#REF!</v>
      </c>
      <c r="B176" s="10" t="s">
        <v>0</v>
      </c>
      <c r="C176" s="3">
        <v>46089</v>
      </c>
      <c r="D176" s="5" t="str">
        <f>_xlfn.XLOOKUP([1]!Table134526_79101120212223242526[[#This Row],[Name Surname]],[1]Manpower!$C$4:$C$1048576,[1]Manpower!$B$4:$B$1048576,"")</f>
        <v>Encogroup</v>
      </c>
      <c r="E176" s="5" t="s">
        <v>8</v>
      </c>
      <c r="F176" s="4">
        <f>_xlfn.XLOOKUP([1]!Table134526_79101120212223242526[[#This Row],[Name Surname]],[1]Manpower!C:C,[1]Manpower!D:D,)</f>
        <v>141169071</v>
      </c>
      <c r="G176" s="5" t="str">
        <f>_xlfn.XLOOKUP([1]!Table134526_79101120212223242526[[#This Row],[Name Surname]],[1]Manpower!$C$4:$C$1048576,[1]Manpower!$F$4:$F$1048576,"")</f>
        <v>Welding Supervisor</v>
      </c>
      <c r="H176" s="5" t="str">
        <f>_xlfn.XLOOKUP([1]!Table134526_79101120212223242526[[#This Row],[Name Surname]],[1]Manpower!$C$4:$C$1048576,[1]Manpower!$H$4:$H$1048576,"")</f>
        <v>Manpower</v>
      </c>
      <c r="I176" s="3" t="str">
        <f>_xlfn.XLOOKUP([1]!Table134526_79101120212223242526[[#This Row],[Name Surname]],[1]Manpower!$C$4:$C$1048576,[1]Manpower!$H$4:$H$1048576,"")</f>
        <v>Manpower</v>
      </c>
      <c r="J176" s="5" t="s">
        <v>9</v>
      </c>
      <c r="K176" s="5" t="s">
        <v>7</v>
      </c>
      <c r="L176" s="5" t="s">
        <v>10</v>
      </c>
      <c r="M176" s="5" t="s">
        <v>5</v>
      </c>
      <c r="N176" s="6">
        <v>10</v>
      </c>
      <c r="O176" s="5" t="s">
        <v>11</v>
      </c>
      <c r="P176" s="5" t="s">
        <v>12</v>
      </c>
      <c r="Q176" s="5" t="s">
        <v>13</v>
      </c>
      <c r="R176" s="5" t="s">
        <v>7</v>
      </c>
      <c r="S176" s="8"/>
    </row>
    <row r="177" spans="1:19" x14ac:dyDescent="0.3">
      <c r="A177" s="9" t="e">
        <f>IF(C177="","",MAX($A$2:A176)+1)</f>
        <v>#REF!</v>
      </c>
      <c r="B177" s="10" t="s">
        <v>0</v>
      </c>
      <c r="C177" s="11">
        <v>46089</v>
      </c>
      <c r="D177" s="13" t="str">
        <f>_xlfn.XLOOKUP([1]!Table134526_79101120212223242526[[#This Row],[Name Surname]],[1]Manpower!$C$4:$C$1048576,[1]Manpower!$B$4:$B$1048576,"")</f>
        <v>Encogroup</v>
      </c>
      <c r="E177" s="13" t="s">
        <v>15</v>
      </c>
      <c r="F177" s="12">
        <f>_xlfn.XLOOKUP([1]!Table134526_79101120212223242526[[#This Row],[Name Surname]],[1]Manpower!C:C,[1]Manpower!D:D,)</f>
        <v>141365126</v>
      </c>
      <c r="G177" s="13" t="str">
        <f>_xlfn.XLOOKUP([1]!Table134526_79101120212223242526[[#This Row],[Name Surname]],[1]Manpower!$C$4:$C$1048576,[1]Manpower!$F$4:$F$1048576,"")</f>
        <v>Helper</v>
      </c>
      <c r="H177" s="13" t="str">
        <f>_xlfn.XLOOKUP([1]!Table134526_79101120212223242526[[#This Row],[Name Surname]],[1]Manpower!$C$4:$C$1048576,[1]Manpower!$H$4:$H$1048576,"")</f>
        <v>Manpower</v>
      </c>
      <c r="I177" s="11" t="str">
        <f>_xlfn.XLOOKUP([1]!Table134526_79101120212223242526[[#This Row],[Name Surname]],[1]Manpower!$C$4:$C$1048576,[1]Manpower!$H$4:$H$1048576,"")</f>
        <v>Manpower</v>
      </c>
      <c r="J177" s="13" t="s">
        <v>9</v>
      </c>
      <c r="K177" s="13" t="s">
        <v>7</v>
      </c>
      <c r="L177" s="13" t="s">
        <v>10</v>
      </c>
      <c r="M177" s="13" t="s">
        <v>5</v>
      </c>
      <c r="N177" s="14">
        <v>10</v>
      </c>
      <c r="O177" s="13" t="s">
        <v>6</v>
      </c>
      <c r="P177" s="13" t="s">
        <v>12</v>
      </c>
      <c r="Q177" s="13" t="s">
        <v>12</v>
      </c>
      <c r="R177" s="13" t="s">
        <v>16</v>
      </c>
      <c r="S177" s="15"/>
    </row>
    <row r="178" spans="1:19" x14ac:dyDescent="0.3">
      <c r="A178" s="1" t="e">
        <f>IF(C178="","",MAX($A$2:A177)+1)</f>
        <v>#REF!</v>
      </c>
      <c r="B178" s="10" t="s">
        <v>0</v>
      </c>
      <c r="C178" s="3">
        <v>46089</v>
      </c>
      <c r="D178" s="5" t="str">
        <f>_xlfn.XLOOKUP([1]!Table134526_79101120212223242526[[#This Row],[Name Surname]],[1]Manpower!$C$4:$C$1048576,[1]Manpower!$B$4:$B$1048576,"")</f>
        <v>Bright Light</v>
      </c>
      <c r="E178" s="5" t="s">
        <v>17</v>
      </c>
      <c r="F178" s="4">
        <f>_xlfn.XLOOKUP([1]!Table134526_79101120212223242526[[#This Row],[Name Surname]],[1]Manpower!C:C,[1]Manpower!D:D,)</f>
        <v>81379273</v>
      </c>
      <c r="G178" s="5" t="str">
        <f>_xlfn.XLOOKUP([1]!Table134526_79101120212223242526[[#This Row],[Name Surname]],[1]Manpower!$C$4:$C$1048576,[1]Manpower!$F$4:$F$1048576,"")</f>
        <v>Crane Operator-100T Sany Telescopic</v>
      </c>
      <c r="H178" s="5" t="str">
        <f>_xlfn.XLOOKUP([1]!Table134526_79101120212223242526[[#This Row],[Name Surname]],[1]Manpower!$C$4:$C$1048576,[1]Manpower!$H$4:$H$1048576,"")</f>
        <v>Manpower</v>
      </c>
      <c r="I178" s="3" t="str">
        <f>_xlfn.XLOOKUP([1]!Table134526_79101120212223242526[[#This Row],[Name Surname]],[1]Manpower!$C$4:$C$1048576,[1]Manpower!$H$4:$H$1048576,"")</f>
        <v>Manpower</v>
      </c>
      <c r="J178" s="5" t="s">
        <v>9</v>
      </c>
      <c r="K178" s="5" t="s">
        <v>7</v>
      </c>
      <c r="L178" s="5" t="s">
        <v>10</v>
      </c>
      <c r="M178" s="5" t="s">
        <v>18</v>
      </c>
      <c r="N178" s="6">
        <v>10</v>
      </c>
      <c r="O178" s="5"/>
      <c r="P178" s="5"/>
      <c r="Q178" s="5"/>
      <c r="R178" s="5" t="s">
        <v>19</v>
      </c>
      <c r="S178" s="8"/>
    </row>
    <row r="179" spans="1:19" x14ac:dyDescent="0.3">
      <c r="A179" s="9" t="e">
        <f>IF(C179="","",MAX($A$2:A178)+1)</f>
        <v>#REF!</v>
      </c>
      <c r="B179" s="10" t="s">
        <v>0</v>
      </c>
      <c r="C179" s="11">
        <v>46089</v>
      </c>
      <c r="D179" s="11" t="str">
        <f>_xlfn.XLOOKUP([1]!Table134526_79101120212223242526[[#This Row],[Name Surname]],[1]Manpower!$C$4:$C$1048576,[1]Manpower!$B$4:$B$1048576,"")</f>
        <v>Encogroup</v>
      </c>
      <c r="E179" s="11" t="s">
        <v>20</v>
      </c>
      <c r="F179" s="12">
        <f>_xlfn.XLOOKUP([1]!Table134526_79101120212223242526[[#This Row],[Name Surname]],[1]Manpower!C:C,[1]Manpower!D:D,)</f>
        <v>140764706</v>
      </c>
      <c r="G179" s="11" t="str">
        <f>_xlfn.XLOOKUP([1]!Table134526_79101120212223242526[[#This Row],[Name Surname]],[1]Manpower!$C$4:$C$1048576,[1]Manpower!$F$4:$F$1048576,"")</f>
        <v>Rigger</v>
      </c>
      <c r="H179" s="11" t="str">
        <f>_xlfn.XLOOKUP([1]!Table134526_79101120212223242526[[#This Row],[Name Surname]],[1]Manpower!$C$4:$C$1048576,[1]Manpower!$H$4:$H$1048576,"")</f>
        <v>Manpower</v>
      </c>
      <c r="I179" s="11" t="str">
        <f>_xlfn.XLOOKUP([1]!Table134526_79101120212223242526[[#This Row],[Name Surname]],[1]Manpower!$C$4:$C$1048576,[1]Manpower!$H$4:$H$1048576,"")</f>
        <v>Manpower</v>
      </c>
      <c r="J179" s="13" t="s">
        <v>9</v>
      </c>
      <c r="K179" s="13" t="s">
        <v>7</v>
      </c>
      <c r="L179" s="13" t="s">
        <v>10</v>
      </c>
      <c r="M179" s="13" t="s">
        <v>5</v>
      </c>
      <c r="N179" s="14">
        <v>8</v>
      </c>
      <c r="O179" s="13" t="s">
        <v>6</v>
      </c>
      <c r="P179" s="13" t="s">
        <v>12</v>
      </c>
      <c r="Q179" s="13" t="s">
        <v>12</v>
      </c>
      <c r="R179" s="13" t="s">
        <v>7</v>
      </c>
      <c r="S179" s="15"/>
    </row>
    <row r="180" spans="1:19" x14ac:dyDescent="0.3">
      <c r="A180" s="1" t="e">
        <f>IF(C180="","",MAX($A$2:A179)+1)</f>
        <v>#REF!</v>
      </c>
      <c r="B180" s="20" t="s">
        <v>21</v>
      </c>
      <c r="C180" s="3">
        <v>46089</v>
      </c>
      <c r="D180" s="5" t="str">
        <f>_xlfn.XLOOKUP([1]!Table134526_79101120212223242526[[#This Row],[Name Surname]],[1]Manpower!$C$4:$C$1048576,[1]Manpower!$B$4:$B$1048576,"")</f>
        <v>Encogroup</v>
      </c>
      <c r="E180" s="5" t="s">
        <v>22</v>
      </c>
      <c r="F180" s="4">
        <f>_xlfn.XLOOKUP([1]!Table134526_79101120212223242526[[#This Row],[Name Surname]],[1]Manpower!C:C,[1]Manpower!D:D,)</f>
        <v>135325259</v>
      </c>
      <c r="G180" s="5" t="str">
        <f>_xlfn.XLOOKUP([1]!Table134526_79101120212223242526[[#This Row],[Name Surname]],[1]Manpower!$C$4:$C$1048576,[1]Manpower!$F$4:$F$1048576,"")</f>
        <v>Permit Receiver</v>
      </c>
      <c r="H180" s="5" t="str">
        <f>_xlfn.XLOOKUP([1]!Table134526_79101120212223242526[[#This Row],[Name Surname]],[1]Manpower!$C$4:$C$1048576,[1]Manpower!$H$4:$H$1048576,"")</f>
        <v>Manpower</v>
      </c>
      <c r="I180" s="3" t="str">
        <f>_xlfn.XLOOKUP([1]!Table134526_79101120212223242526[[#This Row],[Name Surname]],[1]Manpower!$C$4:$C$1048576,[1]Manpower!$H$4:$H$1048576,"")</f>
        <v>Manpower</v>
      </c>
      <c r="J180" s="5" t="s">
        <v>23</v>
      </c>
      <c r="K180" s="5" t="s">
        <v>24</v>
      </c>
      <c r="L180" s="5" t="s">
        <v>25</v>
      </c>
      <c r="M180" s="5" t="s">
        <v>5</v>
      </c>
      <c r="N180" s="6">
        <v>10</v>
      </c>
      <c r="O180" s="5" t="s">
        <v>6</v>
      </c>
      <c r="P180" s="5" t="s">
        <v>12</v>
      </c>
      <c r="Q180" s="5" t="s">
        <v>26</v>
      </c>
      <c r="R180" s="5" t="s">
        <v>65</v>
      </c>
      <c r="S180" s="8"/>
    </row>
    <row r="181" spans="1:19" x14ac:dyDescent="0.3">
      <c r="A181" s="9" t="e">
        <f>IF(C181="","",MAX($A$2:A180)+1)</f>
        <v>#REF!</v>
      </c>
      <c r="B181" s="20" t="s">
        <v>21</v>
      </c>
      <c r="C181" s="11">
        <v>46089</v>
      </c>
      <c r="D181" s="13" t="str">
        <f>_xlfn.XLOOKUP([1]!Table134526_79101120212223242526[[#This Row],[Name Surname]],[1]Manpower!$C$4:$C$1048576,[1]Manpower!$B$4:$B$1048576,"")</f>
        <v>Encogroup</v>
      </c>
      <c r="E181" s="13" t="s">
        <v>28</v>
      </c>
      <c r="F181" s="12">
        <f>_xlfn.XLOOKUP([1]!Table134526_79101120212223242526[[#This Row],[Name Surname]],[1]Manpower!C:C,[1]Manpower!D:D,)</f>
        <v>141365089</v>
      </c>
      <c r="G181" s="13" t="str">
        <f>_xlfn.XLOOKUP([1]!Table134526_79101120212223242526[[#This Row],[Name Surname]],[1]Manpower!$C$4:$C$1048576,[1]Manpower!$F$4:$F$1048576,"")</f>
        <v>Fitter</v>
      </c>
      <c r="H181" s="13" t="str">
        <f>_xlfn.XLOOKUP([1]!Table134526_79101120212223242526[[#This Row],[Name Surname]],[1]Manpower!$C$4:$C$1048576,[1]Manpower!$H$4:$H$1048576,"")</f>
        <v>Manpower</v>
      </c>
      <c r="I181" s="11" t="str">
        <f>_xlfn.XLOOKUP([1]!Table134526_79101120212223242526[[#This Row],[Name Surname]],[1]Manpower!$C$4:$C$1048576,[1]Manpower!$H$4:$H$1048576,"")</f>
        <v>Manpower</v>
      </c>
      <c r="J181" s="13" t="s">
        <v>23</v>
      </c>
      <c r="K181" s="13" t="s">
        <v>24</v>
      </c>
      <c r="L181" s="13" t="s">
        <v>25</v>
      </c>
      <c r="M181" s="13" t="s">
        <v>5</v>
      </c>
      <c r="N181" s="14">
        <v>10</v>
      </c>
      <c r="O181" s="13" t="s">
        <v>6</v>
      </c>
      <c r="P181" s="13" t="s">
        <v>12</v>
      </c>
      <c r="Q181" s="13" t="s">
        <v>26</v>
      </c>
      <c r="R181" s="13" t="s">
        <v>30</v>
      </c>
      <c r="S181" s="15"/>
    </row>
    <row r="182" spans="1:19" x14ac:dyDescent="0.3">
      <c r="A182" s="1" t="e">
        <f>IF(C182="","",MAX($A$2:A181)+1)</f>
        <v>#REF!</v>
      </c>
      <c r="B182" s="20" t="s">
        <v>21</v>
      </c>
      <c r="C182" s="3">
        <v>46089</v>
      </c>
      <c r="D182" s="5" t="str">
        <f>_xlfn.XLOOKUP([1]!Table134526_79101120212223242526[[#This Row],[Name Surname]],[1]Manpower!$C$4:$C$1048576,[1]Manpower!$B$4:$B$1048576,"")</f>
        <v>Encogroup</v>
      </c>
      <c r="E182" s="5" t="s">
        <v>31</v>
      </c>
      <c r="F182" s="4">
        <f>_xlfn.XLOOKUP([1]!Table134526_79101120212223242526[[#This Row],[Name Surname]],[1]Manpower!C:C,[1]Manpower!D:D,)</f>
        <v>122179604</v>
      </c>
      <c r="G182" s="5" t="str">
        <f>_xlfn.XLOOKUP([1]!Table134526_79101120212223242526[[#This Row],[Name Surname]],[1]Manpower!$C$4:$C$1048576,[1]Manpower!$F$4:$F$1048576,"")</f>
        <v>Fitter/Erector</v>
      </c>
      <c r="H182" s="5" t="str">
        <f>_xlfn.XLOOKUP([1]!Table134526_79101120212223242526[[#This Row],[Name Surname]],[1]Manpower!$C$4:$C$1048576,[1]Manpower!$H$4:$H$1048576,"")</f>
        <v>Manpower</v>
      </c>
      <c r="I182" s="3" t="str">
        <f>_xlfn.XLOOKUP([1]!Table134526_79101120212223242526[[#This Row],[Name Surname]],[1]Manpower!$C$4:$C$1048576,[1]Manpower!$H$4:$H$1048576,"")</f>
        <v>Manpower</v>
      </c>
      <c r="J182" s="5" t="s">
        <v>23</v>
      </c>
      <c r="K182" s="5" t="s">
        <v>24</v>
      </c>
      <c r="L182" s="5" t="s">
        <v>25</v>
      </c>
      <c r="M182" s="5" t="s">
        <v>5</v>
      </c>
      <c r="N182" s="6">
        <v>10</v>
      </c>
      <c r="O182" s="5" t="s">
        <v>11</v>
      </c>
      <c r="P182" s="5" t="s">
        <v>12</v>
      </c>
      <c r="Q182" s="5" t="s">
        <v>13</v>
      </c>
      <c r="R182" s="5" t="s">
        <v>27</v>
      </c>
      <c r="S182" s="8"/>
    </row>
    <row r="183" spans="1:19" x14ac:dyDescent="0.3">
      <c r="A183" s="9" t="e">
        <f>IF(C183="","",MAX($A$2:A182)+1)</f>
        <v>#REF!</v>
      </c>
      <c r="B183" s="20" t="s">
        <v>21</v>
      </c>
      <c r="C183" s="11">
        <v>46089</v>
      </c>
      <c r="D183" s="13" t="str">
        <f>_xlfn.XLOOKUP([1]!Table134526_79101120212223242526[[#This Row],[Name Surname]],[1]Manpower!$C$4:$C$1048576,[1]Manpower!$B$4:$B$1048576,"")</f>
        <v>Encogroup</v>
      </c>
      <c r="E183" s="13" t="s">
        <v>32</v>
      </c>
      <c r="F183" s="12">
        <f>_xlfn.XLOOKUP([1]!Table134526_79101120212223242526[[#This Row],[Name Surname]],[1]Manpower!C:C,[1]Manpower!D:D,)</f>
        <v>117255966</v>
      </c>
      <c r="G183" s="13" t="str">
        <f>_xlfn.XLOOKUP([1]!Table134526_79101120212223242526[[#This Row],[Name Surname]],[1]Manpower!$C$4:$C$1048576,[1]Manpower!$F$4:$F$1048576,"")</f>
        <v>Mechanical Supervisor</v>
      </c>
      <c r="H183" s="13" t="str">
        <f>_xlfn.XLOOKUP([1]!Table134526_79101120212223242526[[#This Row],[Name Surname]],[1]Manpower!$C$4:$C$1048576,[1]Manpower!$H$4:$H$1048576,"")</f>
        <v>Manpower</v>
      </c>
      <c r="I183" s="11" t="str">
        <f>_xlfn.XLOOKUP([1]!Table134526_79101120212223242526[[#This Row],[Name Surname]],[1]Manpower!$C$4:$C$1048576,[1]Manpower!$H$4:$H$1048576,"")</f>
        <v>Manpower</v>
      </c>
      <c r="J183" s="13" t="s">
        <v>23</v>
      </c>
      <c r="K183" s="13" t="s">
        <v>24</v>
      </c>
      <c r="L183" s="13" t="s">
        <v>25</v>
      </c>
      <c r="M183" s="13" t="s">
        <v>5</v>
      </c>
      <c r="N183" s="14">
        <v>10</v>
      </c>
      <c r="O183" s="13" t="s">
        <v>33</v>
      </c>
      <c r="P183" s="13" t="s">
        <v>33</v>
      </c>
      <c r="Q183" s="13" t="s">
        <v>33</v>
      </c>
      <c r="R183" s="13" t="s">
        <v>7</v>
      </c>
      <c r="S183" s="15"/>
    </row>
    <row r="184" spans="1:19" x14ac:dyDescent="0.3">
      <c r="A184" s="1" t="e">
        <f>IF(C184="","",MAX($A$2:A182)+1)</f>
        <v>#REF!</v>
      </c>
      <c r="B184" s="20" t="s">
        <v>21</v>
      </c>
      <c r="C184" s="3">
        <v>46089</v>
      </c>
      <c r="D184" s="5" t="str">
        <f>_xlfn.XLOOKUP([1]!Table134526_79101120212223242526[[#This Row],[Name Surname]],[1]Manpower!$C$4:$C$1048576,[1]Manpower!$B$4:$B$1048576,"")</f>
        <v>Encogroup</v>
      </c>
      <c r="E184" s="3" t="s">
        <v>34</v>
      </c>
      <c r="F184" s="4" t="e">
        <f>_xlfn.XLOOKUP([1]!Table134526_79101120212223242526[[#This Row],[Name Surname]],[1]Manpower!C:C,[1]Manpower!D:D,)</f>
        <v>#N/A</v>
      </c>
      <c r="G184" s="5" t="str">
        <f>_xlfn.XLOOKUP([1]!Table134526_79101120212223242526[[#This Row],[Name Surname]],[1]Manpower!$C$4:$C$1048576,[1]Manpower!$F$4:$F$1048576,"")</f>
        <v>22M-Manlift</v>
      </c>
      <c r="H184" s="5" t="str">
        <f>_xlfn.XLOOKUP([1]!Table134526_79101120212223242526[[#This Row],[Name Surname]],[1]Manpower!$C$4:$C$1048576,[1]Manpower!$H$4:$H$1048576,"")</f>
        <v>Equipment</v>
      </c>
      <c r="I184" s="3" t="str">
        <f>_xlfn.XLOOKUP([1]!Table134526_79101120212223242526[[#This Row],[Name Surname]],[1]Manpower!$C$4:$C$1048576,[1]Manpower!$H$4:$H$1048576,"")</f>
        <v>Equipment</v>
      </c>
      <c r="J184" s="5" t="s">
        <v>23</v>
      </c>
      <c r="K184" s="5" t="s">
        <v>24</v>
      </c>
      <c r="L184" s="5" t="s">
        <v>25</v>
      </c>
      <c r="M184" s="5" t="s">
        <v>5</v>
      </c>
      <c r="N184" s="6">
        <v>10</v>
      </c>
      <c r="O184" s="5" t="s">
        <v>35</v>
      </c>
      <c r="P184" s="5" t="s">
        <v>35</v>
      </c>
      <c r="Q184" s="5" t="s">
        <v>35</v>
      </c>
      <c r="R184" s="5" t="s">
        <v>7</v>
      </c>
      <c r="S184" s="8"/>
    </row>
    <row r="185" spans="1:19" x14ac:dyDescent="0.3">
      <c r="A185" s="9" t="e">
        <f>IF(C185="","",MAX($A$2:A184)+1)</f>
        <v>#REF!</v>
      </c>
      <c r="B185" s="21" t="s">
        <v>36</v>
      </c>
      <c r="C185" s="11">
        <v>46089</v>
      </c>
      <c r="D185" s="13" t="str">
        <f>_xlfn.XLOOKUP([1]!Table134526_79101120212223242526[[#This Row],[Name Surname]],[1]Manpower!$C$4:$C$1048576,[1]Manpower!$B$4:$B$1048576,"")</f>
        <v>Encogroup</v>
      </c>
      <c r="E185" s="13" t="s">
        <v>37</v>
      </c>
      <c r="F185" s="12" t="e">
        <f>_xlfn.XLOOKUP([1]!Table134526_79101120212223242526[[#This Row],[Name Surname]],[1]Manpower!C:C,[1]Manpower!D:D,)</f>
        <v>#N/A</v>
      </c>
      <c r="G185" s="13" t="str">
        <f>_xlfn.XLOOKUP([1]!Table134526_79101120212223242526[[#This Row],[Name Surname]],[1]Manpower!$C$4:$C$1048576,[1]Manpower!$F$4:$F$1048576,"")</f>
        <v>22M-Manlift</v>
      </c>
      <c r="H185" s="13" t="str">
        <f>_xlfn.XLOOKUP([1]!Table134526_79101120212223242526[[#This Row],[Name Surname]],[1]Manpower!$C$4:$C$1048576,[1]Manpower!$H$4:$H$1048576,"")</f>
        <v>Equipment</v>
      </c>
      <c r="I185" s="11" t="str">
        <f>_xlfn.XLOOKUP([1]!Table134526_79101120212223242526[[#This Row],[Name Surname]],[1]Manpower!$C$4:$C$1048576,[1]Manpower!$H$4:$H$1048576,"")</f>
        <v>Equipment</v>
      </c>
      <c r="J185" s="13" t="s">
        <v>38</v>
      </c>
      <c r="K185" s="13" t="s">
        <v>7</v>
      </c>
      <c r="L185" s="13" t="s">
        <v>39</v>
      </c>
      <c r="M185" s="13" t="s">
        <v>5</v>
      </c>
      <c r="N185" s="14">
        <v>10</v>
      </c>
      <c r="O185" s="13" t="s">
        <v>33</v>
      </c>
      <c r="P185" s="13" t="s">
        <v>33</v>
      </c>
      <c r="Q185" s="13" t="s">
        <v>33</v>
      </c>
      <c r="R185" s="13" t="s">
        <v>7</v>
      </c>
      <c r="S185" s="15"/>
    </row>
    <row r="186" spans="1:19" x14ac:dyDescent="0.3">
      <c r="A186" s="1" t="e">
        <f>IF(C186="","",MAX($A$2:A185)+1)</f>
        <v>#REF!</v>
      </c>
      <c r="B186" s="21" t="s">
        <v>36</v>
      </c>
      <c r="C186" s="3">
        <v>46089</v>
      </c>
      <c r="D186" s="5" t="str">
        <f>_xlfn.XLOOKUP([1]!Table134526_79101120212223242526[[#This Row],[Name Surname]],[1]Manpower!$C$4:$C$1048576,[1]Manpower!$B$4:$B$1048576,"")</f>
        <v>Nass Group</v>
      </c>
      <c r="E186" s="5" t="s">
        <v>40</v>
      </c>
      <c r="F186" s="4" t="e">
        <f>_xlfn.XLOOKUP([1]!Table134526_79101120212223242526[[#This Row],[Name Surname]],[1]Manpower!C:C,[1]Manpower!D:D,)</f>
        <v>#N/A</v>
      </c>
      <c r="G186" s="5" t="str">
        <f>_xlfn.XLOOKUP([1]!Table134526_79101120212223242526[[#This Row],[Name Surname]],[1]Manpower!$C$4:$C$1048576,[1]Manpower!$F$4:$F$1048576,"")</f>
        <v>70T-Telescopic crane</v>
      </c>
      <c r="H186" s="5" t="str">
        <f>_xlfn.XLOOKUP([1]!Table134526_79101120212223242526[[#This Row],[Name Surname]],[1]Manpower!$C$4:$C$1048576,[1]Manpower!$H$4:$H$1048576,"")</f>
        <v>Equipment</v>
      </c>
      <c r="I186" s="3" t="str">
        <f>_xlfn.XLOOKUP([1]!Table134526_79101120212223242526[[#This Row],[Name Surname]],[1]Manpower!$C$4:$C$1048576,[1]Manpower!$H$4:$H$1048576,"")</f>
        <v>Equipment</v>
      </c>
      <c r="J186" s="5" t="s">
        <v>38</v>
      </c>
      <c r="K186" s="5" t="s">
        <v>7</v>
      </c>
      <c r="L186" s="5" t="s">
        <v>39</v>
      </c>
      <c r="M186" s="5" t="s">
        <v>5</v>
      </c>
      <c r="N186" s="6">
        <v>10</v>
      </c>
      <c r="O186" s="5" t="s">
        <v>33</v>
      </c>
      <c r="P186" s="5" t="s">
        <v>33</v>
      </c>
      <c r="Q186" s="5" t="s">
        <v>33</v>
      </c>
      <c r="R186" s="5" t="s">
        <v>7</v>
      </c>
      <c r="S186" s="8"/>
    </row>
    <row r="187" spans="1:19" x14ac:dyDescent="0.3">
      <c r="A187" s="9" t="e">
        <f>IF(C187="","",MAX($A$2:A185)+1)</f>
        <v>#REF!</v>
      </c>
      <c r="B187" s="21" t="s">
        <v>36</v>
      </c>
      <c r="C187" s="11">
        <v>46089</v>
      </c>
      <c r="D187" s="13" t="str">
        <f>_xlfn.XLOOKUP([1]!Table134526_79101120212223242526[[#This Row],[Name Surname]],[1]Manpower!$C$4:$C$1048576,[1]Manpower!$B$4:$B$1048576,"")</f>
        <v>Encogroup</v>
      </c>
      <c r="E187" s="13" t="s">
        <v>41</v>
      </c>
      <c r="F187" s="12">
        <f>_xlfn.XLOOKUP([1]!Table134526_79101120212223242526[[#This Row],[Name Surname]],[1]Manpower!C:C,[1]Manpower!D:D,)</f>
        <v>126724428</v>
      </c>
      <c r="G187" s="13" t="str">
        <f>_xlfn.XLOOKUP([1]!Table134526_79101120212223242526[[#This Row],[Name Surname]],[1]Manpower!$C$4:$C$1048576,[1]Manpower!$F$4:$F$1048576,"")</f>
        <v>Surveyor</v>
      </c>
      <c r="H187" s="13" t="str">
        <f>_xlfn.XLOOKUP([1]!Table134526_79101120212223242526[[#This Row],[Name Surname]],[1]Manpower!$C$4:$C$1048576,[1]Manpower!$H$4:$H$1048576,"")</f>
        <v>Manpower</v>
      </c>
      <c r="I187" s="11" t="str">
        <f>_xlfn.XLOOKUP([1]!Table134526_79101120212223242526[[#This Row],[Name Surname]],[1]Manpower!$C$4:$C$1048576,[1]Manpower!$H$4:$H$1048576,"")</f>
        <v>Manpower</v>
      </c>
      <c r="J187" s="13" t="s">
        <v>38</v>
      </c>
      <c r="K187" s="13" t="s">
        <v>7</v>
      </c>
      <c r="L187" s="13" t="s">
        <v>39</v>
      </c>
      <c r="M187" s="13" t="s">
        <v>18</v>
      </c>
      <c r="N187" s="14">
        <v>10</v>
      </c>
      <c r="O187" s="13"/>
      <c r="P187" s="13"/>
      <c r="Q187" s="13"/>
      <c r="R187" s="13" t="s">
        <v>66</v>
      </c>
      <c r="S187" s="15"/>
    </row>
    <row r="188" spans="1:19" x14ac:dyDescent="0.3">
      <c r="A188" s="1" t="e">
        <f>IF(C188="","",MAX($A$2:A187)+1)</f>
        <v>#REF!</v>
      </c>
      <c r="B188" s="21" t="s">
        <v>36</v>
      </c>
      <c r="C188" s="3">
        <v>46089</v>
      </c>
      <c r="D188" s="5" t="str">
        <f>_xlfn.XLOOKUP([1]!Table134526_79101120212223242526[[#This Row],[Name Surname]],[1]Manpower!$C$4:$C$1048576,[1]Manpower!$B$4:$B$1048576,"")</f>
        <v>Encogroup</v>
      </c>
      <c r="E188" s="5" t="s">
        <v>43</v>
      </c>
      <c r="F188" s="4">
        <f>_xlfn.XLOOKUP([1]!Table134526_79101120212223242526[[#This Row],[Name Surname]],[1]Manpower!C:C,[1]Manpower!D:D,)</f>
        <v>132915855</v>
      </c>
      <c r="G188" s="5" t="str">
        <f>_xlfn.XLOOKUP([1]!Table134526_79101120212223242526[[#This Row],[Name Surname]],[1]Manpower!$C$4:$C$1048576,[1]Manpower!$F$4:$F$1048576,"")</f>
        <v>Mechanical Supervisor</v>
      </c>
      <c r="H188" s="5" t="str">
        <f>_xlfn.XLOOKUP([1]!Table134526_79101120212223242526[[#This Row],[Name Surname]],[1]Manpower!$C$4:$C$1048576,[1]Manpower!$H$4:$H$1048576,"")</f>
        <v>Manpower</v>
      </c>
      <c r="I188" s="3" t="str">
        <f>_xlfn.XLOOKUP([1]!Table134526_79101120212223242526[[#This Row],[Name Surname]],[1]Manpower!$C$4:$C$1048576,[1]Manpower!$H$4:$H$1048576,"")</f>
        <v>Manpower</v>
      </c>
      <c r="J188" s="5" t="s">
        <v>38</v>
      </c>
      <c r="K188" s="5" t="s">
        <v>7</v>
      </c>
      <c r="L188" s="5" t="s">
        <v>39</v>
      </c>
      <c r="M188" s="5" t="s">
        <v>18</v>
      </c>
      <c r="N188" s="6">
        <v>10</v>
      </c>
      <c r="O188" s="5"/>
      <c r="P188" s="5"/>
      <c r="Q188" s="5"/>
      <c r="R188" s="5" t="s">
        <v>67</v>
      </c>
      <c r="S188" s="8"/>
    </row>
    <row r="189" spans="1:19" x14ac:dyDescent="0.3">
      <c r="A189" s="9" t="e">
        <f>IF(C189="","",MAX($A$2:A188)+1)</f>
        <v>#REF!</v>
      </c>
      <c r="B189" s="21" t="s">
        <v>36</v>
      </c>
      <c r="C189" s="11">
        <v>46089</v>
      </c>
      <c r="D189" s="13" t="str">
        <f>_xlfn.XLOOKUP([1]!Table134526_79101120212223242526[[#This Row],[Name Surname]],[1]Manpower!$C$4:$C$1048576,[1]Manpower!$B$4:$B$1048576,"")</f>
        <v>Encogroup</v>
      </c>
      <c r="E189" s="13" t="s">
        <v>45</v>
      </c>
      <c r="F189" s="12">
        <f>_xlfn.XLOOKUP([1]!Table134526_79101120212223242526[[#This Row],[Name Surname]],[1]Manpower!C:C,[1]Manpower!D:D,)</f>
        <v>141377747</v>
      </c>
      <c r="G189" s="13" t="str">
        <f>_xlfn.XLOOKUP([1]!Table134526_79101120212223242526[[#This Row],[Name Surname]],[1]Manpower!$C$4:$C$1048576,[1]Manpower!$F$4:$F$1048576,"")</f>
        <v>Painter</v>
      </c>
      <c r="H189" s="13" t="str">
        <f>_xlfn.XLOOKUP([1]!Table134526_79101120212223242526[[#This Row],[Name Surname]],[1]Manpower!$C$4:$C$1048576,[1]Manpower!$H$4:$H$1048576,"")</f>
        <v>Manpower</v>
      </c>
      <c r="I189" s="11" t="str">
        <f>_xlfn.XLOOKUP([1]!Table134526_79101120212223242526[[#This Row],[Name Surname]],[1]Manpower!$C$4:$C$1048576,[1]Manpower!$H$4:$H$1048576,"")</f>
        <v>Manpower</v>
      </c>
      <c r="J189" s="13" t="s">
        <v>38</v>
      </c>
      <c r="K189" s="13" t="s">
        <v>7</v>
      </c>
      <c r="L189" s="13" t="s">
        <v>39</v>
      </c>
      <c r="M189" s="13" t="s">
        <v>5</v>
      </c>
      <c r="N189" s="14">
        <v>10</v>
      </c>
      <c r="O189" s="13" t="s">
        <v>11</v>
      </c>
      <c r="P189" s="13" t="s">
        <v>13</v>
      </c>
      <c r="Q189" s="13" t="s">
        <v>12</v>
      </c>
      <c r="R189" s="13" t="s">
        <v>7</v>
      </c>
      <c r="S189" s="15"/>
    </row>
    <row r="190" spans="1:19" x14ac:dyDescent="0.3">
      <c r="A190" s="1" t="e">
        <f>IF(C190="","",MAX($A$2:A189)+1)</f>
        <v>#REF!</v>
      </c>
      <c r="B190" s="21" t="s">
        <v>36</v>
      </c>
      <c r="C190" s="3">
        <v>46089</v>
      </c>
      <c r="D190" s="5" t="str">
        <f>_xlfn.XLOOKUP([1]!Table134526_79101120212223242526[[#This Row],[Name Surname]],[1]Manpower!$C$4:$C$1048576,[1]Manpower!$B$4:$B$1048576,"")</f>
        <v>Encogroup</v>
      </c>
      <c r="E190" s="5" t="s">
        <v>46</v>
      </c>
      <c r="F190" s="4">
        <f>_xlfn.XLOOKUP([1]!Table134526_79101120212223242526[[#This Row],[Name Surname]],[1]Manpower!C:C,[1]Manpower!D:D,)</f>
        <v>141359235</v>
      </c>
      <c r="G190" s="5" t="str">
        <f>_xlfn.XLOOKUP([1]!Table134526_79101120212223242526[[#This Row],[Name Surname]],[1]Manpower!$C$4:$C$1048576,[1]Manpower!$F$4:$F$1048576,"")</f>
        <v>Fitter</v>
      </c>
      <c r="H190" s="5" t="str">
        <f>_xlfn.XLOOKUP([1]!Table134526_79101120212223242526[[#This Row],[Name Surname]],[1]Manpower!$C$4:$C$1048576,[1]Manpower!$H$4:$H$1048576,"")</f>
        <v>Manpower</v>
      </c>
      <c r="I190" s="3" t="str">
        <f>_xlfn.XLOOKUP([1]!Table134526_79101120212223242526[[#This Row],[Name Surname]],[1]Manpower!$C$4:$C$1048576,[1]Manpower!$H$4:$H$1048576,"")</f>
        <v>Manpower</v>
      </c>
      <c r="J190" s="5" t="s">
        <v>38</v>
      </c>
      <c r="K190" s="5" t="s">
        <v>7</v>
      </c>
      <c r="L190" s="5" t="s">
        <v>39</v>
      </c>
      <c r="M190" s="5" t="s">
        <v>18</v>
      </c>
      <c r="N190" s="6">
        <v>8</v>
      </c>
      <c r="O190" s="5"/>
      <c r="P190" s="5"/>
      <c r="Q190" s="5"/>
      <c r="R190" s="5" t="s">
        <v>68</v>
      </c>
      <c r="S190" s="8"/>
    </row>
    <row r="191" spans="1:19" x14ac:dyDescent="0.3">
      <c r="A191" s="9" t="e">
        <f>IF(C191="","",MAX($A$2:A190)+1)</f>
        <v>#REF!</v>
      </c>
      <c r="B191" s="21" t="s">
        <v>36</v>
      </c>
      <c r="C191" s="11">
        <v>46089</v>
      </c>
      <c r="D191" s="13" t="str">
        <f>_xlfn.XLOOKUP([1]!Table134526_79101120212223242526[[#This Row],[Name Surname]],[1]Manpower!$C$4:$C$1048576,[1]Manpower!$B$4:$B$1048576,"")</f>
        <v>Encogroup</v>
      </c>
      <c r="E191" s="13" t="s">
        <v>48</v>
      </c>
      <c r="F191" s="12">
        <f>_xlfn.XLOOKUP([1]!Table134526_79101120212223242526[[#This Row],[Name Surname]],[1]Manpower!C:C,[1]Manpower!D:D,)</f>
        <v>140697025</v>
      </c>
      <c r="G191" s="13" t="str">
        <f>_xlfn.XLOOKUP([1]!Table134526_79101120212223242526[[#This Row],[Name Surname]],[1]Manpower!$C$4:$C$1048576,[1]Manpower!$F$4:$F$1048576,"")</f>
        <v>Assistant/Helper</v>
      </c>
      <c r="H191" s="13" t="str">
        <f>_xlfn.XLOOKUP([1]!Table134526_79101120212223242526[[#This Row],[Name Surname]],[1]Manpower!$C$4:$C$1048576,[1]Manpower!$H$4:$H$1048576,"")</f>
        <v>Manpower</v>
      </c>
      <c r="I191" s="11" t="str">
        <f>_xlfn.XLOOKUP([1]!Table134526_79101120212223242526[[#This Row],[Name Surname]],[1]Manpower!$C$4:$C$1048576,[1]Manpower!$H$4:$H$1048576,"")</f>
        <v>Manpower</v>
      </c>
      <c r="J191" s="13" t="s">
        <v>38</v>
      </c>
      <c r="K191" s="13" t="s">
        <v>7</v>
      </c>
      <c r="L191" s="13" t="s">
        <v>39</v>
      </c>
      <c r="M191" s="13" t="s">
        <v>5</v>
      </c>
      <c r="N191" s="14">
        <v>10</v>
      </c>
      <c r="O191" s="13" t="s">
        <v>33</v>
      </c>
      <c r="P191" s="13" t="s">
        <v>33</v>
      </c>
      <c r="Q191" s="13" t="s">
        <v>33</v>
      </c>
      <c r="R191" s="13" t="s">
        <v>7</v>
      </c>
      <c r="S191" s="15"/>
    </row>
    <row r="192" spans="1:19" x14ac:dyDescent="0.3">
      <c r="A192" s="1" t="e">
        <f>IF(C192="","",MAX($A$2:A191)+1)</f>
        <v>#REF!</v>
      </c>
      <c r="B192" s="21" t="s">
        <v>36</v>
      </c>
      <c r="C192" s="3">
        <v>46089</v>
      </c>
      <c r="D192" s="5" t="str">
        <f>_xlfn.XLOOKUP([1]!Table134526_79101120212223242526[[#This Row],[Name Surname]],[1]Manpower!$C$4:$C$1048576,[1]Manpower!$B$4:$B$1048576,"")</f>
        <v>Encogroup</v>
      </c>
      <c r="E192" s="5" t="s">
        <v>49</v>
      </c>
      <c r="F192" s="4">
        <f>_xlfn.XLOOKUP([1]!Table134526_79101120212223242526[[#This Row],[Name Surname]],[1]Manpower!C:C,[1]Manpower!D:D,)</f>
        <v>141169052</v>
      </c>
      <c r="G192" s="5" t="str">
        <f>_xlfn.XLOOKUP([1]!Table134526_79101120212223242526[[#This Row],[Name Surname]],[1]Manpower!$C$4:$C$1048576,[1]Manpower!$F$4:$F$1048576,"")</f>
        <v>Welder</v>
      </c>
      <c r="H192" s="5" t="str">
        <f>_xlfn.XLOOKUP([1]!Table134526_79101120212223242526[[#This Row],[Name Surname]],[1]Manpower!$C$4:$C$1048576,[1]Manpower!$H$4:$H$1048576,"")</f>
        <v>Manpower</v>
      </c>
      <c r="I192" s="3" t="str">
        <f>_xlfn.XLOOKUP([1]!Table134526_79101120212223242526[[#This Row],[Name Surname]],[1]Manpower!$C$4:$C$1048576,[1]Manpower!$H$4:$H$1048576,"")</f>
        <v>Manpower</v>
      </c>
      <c r="J192" s="5" t="s">
        <v>38</v>
      </c>
      <c r="K192" s="5" t="s">
        <v>7</v>
      </c>
      <c r="L192" s="5" t="s">
        <v>39</v>
      </c>
      <c r="M192" s="5" t="s">
        <v>5</v>
      </c>
      <c r="N192" s="6">
        <v>10</v>
      </c>
      <c r="O192" s="5" t="s">
        <v>33</v>
      </c>
      <c r="P192" s="5" t="s">
        <v>33</v>
      </c>
      <c r="Q192" s="5" t="s">
        <v>33</v>
      </c>
      <c r="R192" s="5" t="s">
        <v>7</v>
      </c>
      <c r="S192" s="8"/>
    </row>
    <row r="193" spans="1:19" x14ac:dyDescent="0.3">
      <c r="A193" s="9" t="e">
        <f>IF(C193="","",MAX($A$2:A192)+1)</f>
        <v>#REF!</v>
      </c>
      <c r="B193" s="21" t="s">
        <v>36</v>
      </c>
      <c r="C193" s="11">
        <v>46089</v>
      </c>
      <c r="D193" s="13" t="str">
        <f>_xlfn.XLOOKUP([1]!Table134526_79101120212223242526[[#This Row],[Name Surname]],[1]Manpower!$C$4:$C$1048576,[1]Manpower!$B$4:$B$1048576,"")</f>
        <v>Encogroup</v>
      </c>
      <c r="E193" s="13" t="s">
        <v>50</v>
      </c>
      <c r="F193" s="12">
        <f>_xlfn.XLOOKUP([1]!Table134526_79101120212223242526[[#This Row],[Name Surname]],[1]Manpower!C:C,[1]Manpower!D:D,)</f>
        <v>141365075</v>
      </c>
      <c r="G193" s="13" t="str">
        <f>_xlfn.XLOOKUP([1]!Table134526_79101120212223242526[[#This Row],[Name Surname]],[1]Manpower!$C$4:$C$1048576,[1]Manpower!$F$4:$F$1048576,"")</f>
        <v>Helper</v>
      </c>
      <c r="H193" s="13" t="str">
        <f>_xlfn.XLOOKUP([1]!Table134526_79101120212223242526[[#This Row],[Name Surname]],[1]Manpower!$C$4:$C$1048576,[1]Manpower!$H$4:$H$1048576,"")</f>
        <v>Manpower</v>
      </c>
      <c r="I193" s="11" t="str">
        <f>_xlfn.XLOOKUP([1]!Table134526_79101120212223242526[[#This Row],[Name Surname]],[1]Manpower!$C$4:$C$1048576,[1]Manpower!$H$4:$H$1048576,"")</f>
        <v>Manpower</v>
      </c>
      <c r="J193" s="13" t="s">
        <v>38</v>
      </c>
      <c r="K193" s="13" t="s">
        <v>7</v>
      </c>
      <c r="L193" s="13" t="s">
        <v>39</v>
      </c>
      <c r="M193" s="13" t="s">
        <v>5</v>
      </c>
      <c r="N193" s="14">
        <v>10</v>
      </c>
      <c r="O193" s="13"/>
      <c r="P193" s="13"/>
      <c r="Q193" s="13"/>
      <c r="R193" s="13" t="s">
        <v>7</v>
      </c>
      <c r="S193" s="15"/>
    </row>
    <row r="194" spans="1:19" x14ac:dyDescent="0.3">
      <c r="A194" s="1" t="e">
        <f>IF(C194="","",MAX($A$2:A193)+1)</f>
        <v>#REF!</v>
      </c>
      <c r="B194" s="21" t="s">
        <v>36</v>
      </c>
      <c r="C194" s="3">
        <v>46089</v>
      </c>
      <c r="D194" s="5" t="str">
        <f>_xlfn.XLOOKUP([1]!Table134526_79101120212223242526[[#This Row],[Name Surname]],[1]Manpower!$C$4:$C$1048576,[1]Manpower!$B$4:$B$1048576,"")</f>
        <v>SARENS NASS</v>
      </c>
      <c r="E194" s="3" t="s">
        <v>51</v>
      </c>
      <c r="F194" s="4">
        <f>_xlfn.XLOOKUP([1]!Table134526_79101120212223242526[[#This Row],[Name Surname]],[1]Manpower!C:C,[1]Manpower!D:D,)</f>
        <v>79502392</v>
      </c>
      <c r="G194" s="5" t="str">
        <f>_xlfn.XLOOKUP([1]!Table134526_79101120212223242526[[#This Row],[Name Surname]],[1]Manpower!$C$4:$C$1048576,[1]Manpower!$F$4:$F$1048576,"")</f>
        <v>Crane Operator- 70T Liebherr Telescopic Crane-01</v>
      </c>
      <c r="H194" s="5" t="str">
        <f>_xlfn.XLOOKUP([1]!Table134526_79101120212223242526[[#This Row],[Name Surname]],[1]Manpower!$C$4:$C$1048576,[1]Manpower!$H$4:$H$1048576,"")</f>
        <v>Manpower</v>
      </c>
      <c r="I194" s="3" t="str">
        <f>_xlfn.XLOOKUP([1]!Table134526_79101120212223242526[[#This Row],[Name Surname]],[1]Manpower!$C$4:$C$1048576,[1]Manpower!$H$4:$H$1048576,"")</f>
        <v>Manpower</v>
      </c>
      <c r="J194" s="5" t="s">
        <v>38</v>
      </c>
      <c r="K194" s="5" t="s">
        <v>7</v>
      </c>
      <c r="L194" s="5" t="s">
        <v>39</v>
      </c>
      <c r="M194" s="5" t="s">
        <v>18</v>
      </c>
      <c r="N194" s="6">
        <v>10</v>
      </c>
      <c r="O194" s="5"/>
      <c r="P194" s="5"/>
      <c r="Q194" s="5"/>
      <c r="R194" s="5" t="s">
        <v>19</v>
      </c>
      <c r="S194" s="8"/>
    </row>
    <row r="195" spans="1:19" x14ac:dyDescent="0.3">
      <c r="A195" s="9" t="e">
        <f>IF(C195="","",MAX($A$2:A194)+1)</f>
        <v>#REF!</v>
      </c>
      <c r="B195" s="21" t="s">
        <v>36</v>
      </c>
      <c r="C195" s="11">
        <v>46089</v>
      </c>
      <c r="D195" s="13" t="str">
        <f>_xlfn.XLOOKUP([1]!Table134526_79101120212223242526[[#This Row],[Name Surname]],[1]Manpower!$C$4:$C$1048576,[1]Manpower!$B$4:$B$1048576,"")</f>
        <v>Encogroup</v>
      </c>
      <c r="E195" s="11" t="s">
        <v>52</v>
      </c>
      <c r="F195" s="12">
        <f>_xlfn.XLOOKUP([1]!Table134526_79101120212223242526[[#This Row],[Name Surname]],[1]Manpower!C:C,[1]Manpower!D:D,)</f>
        <v>141358993</v>
      </c>
      <c r="G195" s="13" t="str">
        <f>_xlfn.XLOOKUP([1]!Table134526_79101120212223242526[[#This Row],[Name Surname]],[1]Manpower!$C$4:$C$1048576,[1]Manpower!$F$4:$F$1048576,"")</f>
        <v>Fitter</v>
      </c>
      <c r="H195" s="13" t="str">
        <f>_xlfn.XLOOKUP([1]!Table134526_79101120212223242526[[#This Row],[Name Surname]],[1]Manpower!$C$4:$C$1048576,[1]Manpower!$H$4:$H$1048576,"")</f>
        <v>Manpower</v>
      </c>
      <c r="I195" s="11" t="str">
        <f>_xlfn.XLOOKUP([1]!Table134526_79101120212223242526[[#This Row],[Name Surname]],[1]Manpower!$C$4:$C$1048576,[1]Manpower!$H$4:$H$1048576,"")</f>
        <v>Manpower</v>
      </c>
      <c r="J195" s="13" t="s">
        <v>38</v>
      </c>
      <c r="K195" s="13" t="s">
        <v>7</v>
      </c>
      <c r="L195" s="13" t="s">
        <v>39</v>
      </c>
      <c r="M195" s="13" t="s">
        <v>5</v>
      </c>
      <c r="N195" s="14">
        <v>10</v>
      </c>
      <c r="O195" s="13" t="s">
        <v>33</v>
      </c>
      <c r="P195" s="13" t="s">
        <v>33</v>
      </c>
      <c r="Q195" s="13" t="s">
        <v>33</v>
      </c>
      <c r="R195" s="13" t="s">
        <v>7</v>
      </c>
      <c r="S195" s="15"/>
    </row>
    <row r="196" spans="1:19" x14ac:dyDescent="0.3">
      <c r="A196" s="1" t="e">
        <f>IF(C196="","",MAX($A$2:A195)+1)</f>
        <v>#REF!</v>
      </c>
      <c r="B196" s="21" t="s">
        <v>36</v>
      </c>
      <c r="C196" s="3">
        <v>46089</v>
      </c>
      <c r="D196" s="5" t="str">
        <f>_xlfn.XLOOKUP([1]!Table134526_79101120212223242526[[#This Row],[Name Surname]],[1]Manpower!$C$4:$C$1048576,[1]Manpower!$B$4:$B$1048576,"")</f>
        <v>Encogroup</v>
      </c>
      <c r="E196" s="5" t="s">
        <v>53</v>
      </c>
      <c r="F196" s="4" t="str">
        <f>_xlfn.XLOOKUP([1]!Table134526_79101120212223242526[[#This Row],[Name Surname]],[1]Manpower!C:C,[1]Manpower!D:D,)</f>
        <v>R3971143</v>
      </c>
      <c r="G196" s="5" t="str">
        <f>_xlfn.XLOOKUP([1]!Table134526_79101120212223242526[[#This Row],[Name Surname]],[1]Manpower!$C$4:$C$1048576,[1]Manpower!$F$4:$F$1048576,"")</f>
        <v>Mechanical Foreman</v>
      </c>
      <c r="H196" s="5" t="str">
        <f>_xlfn.XLOOKUP([1]!Table134526_79101120212223242526[[#This Row],[Name Surname]],[1]Manpower!$C$4:$C$1048576,[1]Manpower!$H$4:$H$1048576,"")</f>
        <v>Manpower</v>
      </c>
      <c r="I196" s="3" t="str">
        <f>_xlfn.XLOOKUP([1]!Table134526_79101120212223242526[[#This Row],[Name Surname]],[1]Manpower!$C$4:$C$1048576,[1]Manpower!$H$4:$H$1048576,"")</f>
        <v>Manpower</v>
      </c>
      <c r="J196" s="5" t="s">
        <v>38</v>
      </c>
      <c r="K196" s="5" t="s">
        <v>7</v>
      </c>
      <c r="L196" s="5" t="s">
        <v>39</v>
      </c>
      <c r="M196" s="5" t="s">
        <v>5</v>
      </c>
      <c r="N196" s="6">
        <v>10</v>
      </c>
      <c r="O196" s="5" t="s">
        <v>33</v>
      </c>
      <c r="P196" s="5" t="s">
        <v>33</v>
      </c>
      <c r="Q196" s="5" t="s">
        <v>33</v>
      </c>
      <c r="R196" s="5" t="s">
        <v>7</v>
      </c>
      <c r="S196" s="8"/>
    </row>
    <row r="197" spans="1:19" x14ac:dyDescent="0.3">
      <c r="A197" s="9" t="e">
        <f>IF(C197="","",MAX($A$2:A196)+1)</f>
        <v>#REF!</v>
      </c>
      <c r="B197" s="21" t="s">
        <v>36</v>
      </c>
      <c r="C197" s="11">
        <v>46089</v>
      </c>
      <c r="D197" s="13" t="str">
        <f>_xlfn.XLOOKUP([1]!Table134526_79101120212223242526[[#This Row],[Name Surname]],[1]Manpower!$C$4:$C$1048576,[1]Manpower!$B$4:$B$1048576,"")</f>
        <v>Encogroup</v>
      </c>
      <c r="E197" s="13" t="s">
        <v>54</v>
      </c>
      <c r="F197" s="12">
        <f>_xlfn.XLOOKUP([1]!Table134526_79101120212223242526[[#This Row],[Name Surname]],[1]Manpower!C:C,[1]Manpower!D:D,)</f>
        <v>116858297</v>
      </c>
      <c r="G197" s="13" t="str">
        <f>_xlfn.XLOOKUP([1]!Table134526_79101120212223242526[[#This Row],[Name Surname]],[1]Manpower!$C$4:$C$1048576,[1]Manpower!$F$4:$F$1048576,"")</f>
        <v>Mechanical Superintendent</v>
      </c>
      <c r="H197" s="13" t="str">
        <f>_xlfn.XLOOKUP([1]!Table134526_79101120212223242526[[#This Row],[Name Surname]],[1]Manpower!$C$4:$C$1048576,[1]Manpower!$H$4:$H$1048576,"")</f>
        <v>Manpower</v>
      </c>
      <c r="I197" s="11" t="str">
        <f>_xlfn.XLOOKUP([1]!Table134526_79101120212223242526[[#This Row],[Name Surname]],[1]Manpower!$C$4:$C$1048576,[1]Manpower!$H$4:$H$1048576,"")</f>
        <v>Manpower</v>
      </c>
      <c r="J197" s="13" t="s">
        <v>38</v>
      </c>
      <c r="K197" s="13" t="s">
        <v>7</v>
      </c>
      <c r="L197" s="13" t="s">
        <v>39</v>
      </c>
      <c r="M197" s="13" t="s">
        <v>5</v>
      </c>
      <c r="N197" s="14">
        <v>10</v>
      </c>
      <c r="O197" s="13" t="s">
        <v>33</v>
      </c>
      <c r="P197" s="13" t="s">
        <v>33</v>
      </c>
      <c r="Q197" s="13" t="s">
        <v>33</v>
      </c>
      <c r="R197" s="13" t="s">
        <v>7</v>
      </c>
      <c r="S197" s="15"/>
    </row>
    <row r="198" spans="1:19" x14ac:dyDescent="0.3">
      <c r="A198" s="1" t="e">
        <f>IF(C198="","",MAX($A$2:A197)+1)</f>
        <v>#REF!</v>
      </c>
      <c r="B198" s="21" t="s">
        <v>36</v>
      </c>
      <c r="C198" s="3">
        <v>46089</v>
      </c>
      <c r="D198" s="5" t="str">
        <f>_xlfn.XLOOKUP([1]!Table134526_79101120212223242526[[#This Row],[Name Surname]],[1]Manpower!$C$4:$C$1048576,[1]Manpower!$B$4:$B$1048576,"")</f>
        <v>Encogroup</v>
      </c>
      <c r="E198" s="5" t="s">
        <v>55</v>
      </c>
      <c r="F198" s="4">
        <f>_xlfn.XLOOKUP([1]!Table134526_79101120212223242526[[#This Row],[Name Surname]],[1]Manpower!C:C,[1]Manpower!D:D,)</f>
        <v>123805496</v>
      </c>
      <c r="G198" s="5" t="str">
        <f>_xlfn.XLOOKUP([1]!Table134526_79101120212223242526[[#This Row],[Name Surname]],[1]Manpower!$C$4:$C$1048576,[1]Manpower!$F$4:$F$1048576,"")</f>
        <v>Fitter/Erector</v>
      </c>
      <c r="H198" s="5" t="str">
        <f>_xlfn.XLOOKUP([1]!Table134526_79101120212223242526[[#This Row],[Name Surname]],[1]Manpower!$C$4:$C$1048576,[1]Manpower!$H$4:$H$1048576,"")</f>
        <v>Manpower</v>
      </c>
      <c r="I198" s="3" t="str">
        <f>_xlfn.XLOOKUP([1]!Table134526_79101120212223242526[[#This Row],[Name Surname]],[1]Manpower!$C$4:$C$1048576,[1]Manpower!$H$4:$H$1048576,"")</f>
        <v>Manpower</v>
      </c>
      <c r="J198" s="5" t="s">
        <v>38</v>
      </c>
      <c r="K198" s="5" t="s">
        <v>7</v>
      </c>
      <c r="L198" s="5" t="s">
        <v>39</v>
      </c>
      <c r="M198" s="5" t="s">
        <v>5</v>
      </c>
      <c r="N198" s="6">
        <v>10</v>
      </c>
      <c r="O198" s="5" t="s">
        <v>33</v>
      </c>
      <c r="P198" s="5" t="s">
        <v>33</v>
      </c>
      <c r="Q198" s="5" t="s">
        <v>33</v>
      </c>
      <c r="R198" s="5" t="s">
        <v>7</v>
      </c>
      <c r="S198" s="8"/>
    </row>
    <row r="199" spans="1:19" x14ac:dyDescent="0.3">
      <c r="A199" s="9" t="e">
        <f>IF(C199="","",MAX($A$2:A198)+1)</f>
        <v>#REF!</v>
      </c>
      <c r="B199" s="21" t="s">
        <v>36</v>
      </c>
      <c r="C199" s="11">
        <v>46089</v>
      </c>
      <c r="D199" s="13" t="str">
        <f>_xlfn.XLOOKUP([1]!Table134526_79101120212223242526[[#This Row],[Name Surname]],[1]Manpower!$C$4:$C$1048576,[1]Manpower!$B$4:$B$1048576,"")</f>
        <v>Encogroup</v>
      </c>
      <c r="E199" s="13" t="s">
        <v>56</v>
      </c>
      <c r="F199" s="12">
        <f>_xlfn.XLOOKUP([1]!Table134526_79101120212223242526[[#This Row],[Name Surname]],[1]Manpower!C:C,[1]Manpower!D:D,)</f>
        <v>136277866</v>
      </c>
      <c r="G199" s="13" t="str">
        <f>_xlfn.XLOOKUP([1]!Table134526_79101120212223242526[[#This Row],[Name Surname]],[1]Manpower!$C$4:$C$1048576,[1]Manpower!$F$4:$F$1048576,"")</f>
        <v>Permit Receiver</v>
      </c>
      <c r="H199" s="13" t="str">
        <f>_xlfn.XLOOKUP([1]!Table134526_79101120212223242526[[#This Row],[Name Surname]],[1]Manpower!$C$4:$C$1048576,[1]Manpower!$H$4:$H$1048576,"")</f>
        <v>Manpower</v>
      </c>
      <c r="I199" s="11" t="str">
        <f>_xlfn.XLOOKUP([1]!Table134526_79101120212223242526[[#This Row],[Name Surname]],[1]Manpower!$C$4:$C$1048576,[1]Manpower!$H$4:$H$1048576,"")</f>
        <v>Manpower</v>
      </c>
      <c r="J199" s="13" t="s">
        <v>38</v>
      </c>
      <c r="K199" s="13" t="s">
        <v>7</v>
      </c>
      <c r="L199" s="13" t="s">
        <v>39</v>
      </c>
      <c r="M199" s="13" t="s">
        <v>5</v>
      </c>
      <c r="N199" s="14">
        <v>10</v>
      </c>
      <c r="O199" s="13" t="s">
        <v>33</v>
      </c>
      <c r="P199" s="13" t="s">
        <v>33</v>
      </c>
      <c r="Q199" s="13" t="s">
        <v>33</v>
      </c>
      <c r="R199" s="13" t="s">
        <v>7</v>
      </c>
      <c r="S199" s="15"/>
    </row>
    <row r="200" spans="1:19" x14ac:dyDescent="0.3">
      <c r="A200" s="1" t="e">
        <f>IF(C200="","",MAX($A$2:A199)+1)</f>
        <v>#REF!</v>
      </c>
      <c r="B200" s="21" t="s">
        <v>36</v>
      </c>
      <c r="C200" s="3">
        <v>46089</v>
      </c>
      <c r="D200" s="5" t="str">
        <f>_xlfn.XLOOKUP([1]!Table134526_79101120212223242526[[#This Row],[Name Surname]],[1]Manpower!$C$4:$C$1048576,[1]Manpower!$B$4:$B$1048576,"")</f>
        <v>Encogroup</v>
      </c>
      <c r="E200" s="5" t="s">
        <v>57</v>
      </c>
      <c r="F200" s="4">
        <f>_xlfn.XLOOKUP([1]!Table134526_79101120212223242526[[#This Row],[Name Surname]],[1]Manpower!C:C,[1]Manpower!D:D,)</f>
        <v>120653364</v>
      </c>
      <c r="G200" s="5" t="str">
        <f>_xlfn.XLOOKUP([1]!Table134526_79101120212223242526[[#This Row],[Name Surname]],[1]Manpower!$C$4:$C$1048576,[1]Manpower!$F$4:$F$1048576,"")</f>
        <v>Surveyor</v>
      </c>
      <c r="H200" s="5" t="str">
        <f>_xlfn.XLOOKUP([1]!Table134526_79101120212223242526[[#This Row],[Name Surname]],[1]Manpower!$C$4:$C$1048576,[1]Manpower!$H$4:$H$1048576,"")</f>
        <v>Manpower</v>
      </c>
      <c r="I200" s="3" t="str">
        <f>_xlfn.XLOOKUP([1]!Table134526_79101120212223242526[[#This Row],[Name Surname]],[1]Manpower!$C$4:$C$1048576,[1]Manpower!$H$4:$H$1048576,"")</f>
        <v>Manpower</v>
      </c>
      <c r="J200" s="5" t="s">
        <v>38</v>
      </c>
      <c r="K200" s="5" t="s">
        <v>7</v>
      </c>
      <c r="L200" s="5" t="s">
        <v>39</v>
      </c>
      <c r="M200" s="5" t="s">
        <v>5</v>
      </c>
      <c r="N200" s="6">
        <v>8</v>
      </c>
      <c r="O200" s="5" t="s">
        <v>11</v>
      </c>
      <c r="P200" s="5" t="s">
        <v>13</v>
      </c>
      <c r="Q200" s="5" t="s">
        <v>13</v>
      </c>
      <c r="R200" s="5" t="s">
        <v>7</v>
      </c>
      <c r="S200" s="8"/>
    </row>
    <row r="201" spans="1:19" x14ac:dyDescent="0.3">
      <c r="A201" s="9" t="e">
        <f>IF(C201="","",MAX($A$2:A200)+1)</f>
        <v>#REF!</v>
      </c>
      <c r="B201" s="21" t="s">
        <v>36</v>
      </c>
      <c r="C201" s="11">
        <v>46089</v>
      </c>
      <c r="D201" s="13" t="str">
        <f>_xlfn.XLOOKUP([1]!Table134526_79101120212223242526[[#This Row],[Name Surname]],[1]Manpower!$C$4:$C$1048576,[1]Manpower!$B$4:$B$1048576,"")</f>
        <v>Encogroup</v>
      </c>
      <c r="E201" s="11" t="s">
        <v>58</v>
      </c>
      <c r="F201" s="12">
        <f>_xlfn.XLOOKUP([1]!Table134526_79101120212223242526[[#This Row],[Name Surname]],[1]Manpower!C:C,[1]Manpower!D:D,)</f>
        <v>140663253</v>
      </c>
      <c r="G201" s="13" t="str">
        <f>_xlfn.XLOOKUP([1]!Table134526_79101120212223242526[[#This Row],[Name Surname]],[1]Manpower!$C$4:$C$1048576,[1]Manpower!$F$4:$F$1048576,"")</f>
        <v>Painting Inspector</v>
      </c>
      <c r="H201" s="13" t="str">
        <f>_xlfn.XLOOKUP([1]!Table134526_79101120212223242526[[#This Row],[Name Surname]],[1]Manpower!$C$4:$C$1048576,[1]Manpower!$H$4:$H$1048576,"")</f>
        <v>Manpower</v>
      </c>
      <c r="I201" s="11" t="str">
        <f>_xlfn.XLOOKUP([1]!Table134526_79101120212223242526[[#This Row],[Name Surname]],[1]Manpower!$C$4:$C$1048576,[1]Manpower!$H$4:$H$1048576,"")</f>
        <v>Manpower</v>
      </c>
      <c r="J201" s="13" t="s">
        <v>38</v>
      </c>
      <c r="K201" s="13" t="s">
        <v>7</v>
      </c>
      <c r="L201" s="13" t="s">
        <v>39</v>
      </c>
      <c r="M201" s="13" t="s">
        <v>18</v>
      </c>
      <c r="N201" s="14">
        <v>10</v>
      </c>
      <c r="O201" s="13"/>
      <c r="P201" s="13"/>
      <c r="Q201" s="13"/>
      <c r="R201" s="13" t="s">
        <v>19</v>
      </c>
      <c r="S201" s="15"/>
    </row>
    <row r="202" spans="1:19" x14ac:dyDescent="0.3">
      <c r="A202" s="1" t="e">
        <f>IF(C202="","",MAX($A$2:A201)+1)</f>
        <v>#REF!</v>
      </c>
      <c r="B202" s="21" t="s">
        <v>36</v>
      </c>
      <c r="C202" s="3">
        <v>46089</v>
      </c>
      <c r="D202" s="5" t="str">
        <f>_xlfn.XLOOKUP([1]!Table134526_79101120212223242526[[#This Row],[Name Surname]],[1]Manpower!$C$4:$C$1048576,[1]Manpower!$B$4:$B$1048576,"")</f>
        <v>Encogroup</v>
      </c>
      <c r="E202" s="3" t="s">
        <v>59</v>
      </c>
      <c r="F202" s="4">
        <f>_xlfn.XLOOKUP([1]!Table134526_79101120212223242526[[#This Row],[Name Surname]],[1]Manpower!C:C,[1]Manpower!D:D,)</f>
        <v>140844604</v>
      </c>
      <c r="G202" s="5" t="str">
        <f>_xlfn.XLOOKUP([1]!Table134526_79101120212223242526[[#This Row],[Name Surname]],[1]Manpower!$C$4:$C$1048576,[1]Manpower!$F$4:$F$1048576,"")</f>
        <v>Painter</v>
      </c>
      <c r="H202" s="5" t="str">
        <f>_xlfn.XLOOKUP([1]!Table134526_79101120212223242526[[#This Row],[Name Surname]],[1]Manpower!$C$4:$C$1048576,[1]Manpower!$H$4:$H$1048576,"")</f>
        <v>Manpower</v>
      </c>
      <c r="I202" s="3" t="str">
        <f>_xlfn.XLOOKUP([1]!Table134526_79101120212223242526[[#This Row],[Name Surname]],[1]Manpower!$C$4:$C$1048576,[1]Manpower!$H$4:$H$1048576,"")</f>
        <v>Manpower</v>
      </c>
      <c r="J202" s="5" t="s">
        <v>38</v>
      </c>
      <c r="K202" s="5" t="s">
        <v>7</v>
      </c>
      <c r="L202" s="5" t="s">
        <v>39</v>
      </c>
      <c r="M202" s="5" t="s">
        <v>18</v>
      </c>
      <c r="N202" s="6">
        <v>10</v>
      </c>
      <c r="O202" s="5"/>
      <c r="P202" s="5"/>
      <c r="Q202" s="5"/>
      <c r="R202" s="5" t="s">
        <v>19</v>
      </c>
      <c r="S202" s="8"/>
    </row>
    <row r="203" spans="1:19" x14ac:dyDescent="0.3">
      <c r="A203" s="9" t="e">
        <f>IF(C203="","",MAX($A$2:A202)+1)</f>
        <v>#REF!</v>
      </c>
      <c r="B203" s="2" t="s">
        <v>0</v>
      </c>
      <c r="C203" s="11">
        <v>46090</v>
      </c>
      <c r="D203" s="13" t="str">
        <f>_xlfn.XLOOKUP([1]!Table134526_79101120212223242526[[#This Row],[Name Surname]],[1]Manpower!$C$4:$C$1048576,[1]Manpower!$B$4:$B$1048576,"")</f>
        <v>Encogroup</v>
      </c>
      <c r="E203" s="11" t="s">
        <v>1</v>
      </c>
      <c r="F203" s="12">
        <f>_xlfn.XLOOKUP([1]!Table134526_79101120212223242526[[#This Row],[Name Surname]],[1]Manpower!C:C,[1]Manpower!D:D,)</f>
        <v>140844783</v>
      </c>
      <c r="G203" s="13" t="str">
        <f>_xlfn.XLOOKUP([1]!Table134526_79101120212223242526[[#This Row],[Name Surname]],[1]Manpower!$C$4:$C$1048576,[1]Manpower!$F$4:$F$1048576,"")</f>
        <v>Painter</v>
      </c>
      <c r="H203" s="13" t="str">
        <f>_xlfn.XLOOKUP([1]!Table134526_79101120212223242526[[#This Row],[Name Surname]],[1]Manpower!$C$4:$C$1048576,[1]Manpower!$H$4:$H$1048576,"")</f>
        <v>Manpower</v>
      </c>
      <c r="I203" s="11" t="str">
        <f>_xlfn.XLOOKUP([1]!Table134526_79101120212223242526[[#This Row],[Name Surname]],[1]Manpower!$C$4:$C$1048576,[1]Manpower!$H$4:$H$1048576,"")</f>
        <v>Manpower</v>
      </c>
      <c r="J203" s="13" t="s">
        <v>2</v>
      </c>
      <c r="K203" s="13" t="s">
        <v>64</v>
      </c>
      <c r="L203" s="13" t="s">
        <v>10</v>
      </c>
      <c r="M203" s="13" t="s">
        <v>5</v>
      </c>
      <c r="N203" s="14">
        <v>8</v>
      </c>
      <c r="O203" s="13" t="s">
        <v>11</v>
      </c>
      <c r="P203" s="13" t="s">
        <v>12</v>
      </c>
      <c r="Q203" s="13" t="s">
        <v>13</v>
      </c>
      <c r="R203" s="13" t="s">
        <v>7</v>
      </c>
      <c r="S203" s="15"/>
    </row>
    <row r="204" spans="1:19" x14ac:dyDescent="0.3">
      <c r="A204" s="1" t="e">
        <f>IF(C204="","",MAX($A$2:A203)+1)</f>
        <v>#REF!</v>
      </c>
      <c r="B204" s="10" t="s">
        <v>0</v>
      </c>
      <c r="C204" s="3">
        <v>46090</v>
      </c>
      <c r="D204" s="5" t="str">
        <f>_xlfn.XLOOKUP([1]!Table134526_79101120212223242526[[#This Row],[Name Surname]],[1]Manpower!$C$4:$C$1048576,[1]Manpower!$B$4:$B$1048576,"")</f>
        <v>Encogroup</v>
      </c>
      <c r="E204" s="3" t="s">
        <v>61</v>
      </c>
      <c r="F204" s="4" t="str">
        <f>_xlfn.XLOOKUP([1]!Table134526_79101120212223242526[[#This Row],[Name Surname]],[1]Manpower!C:C,[1]Manpower!D:D,)</f>
        <v>AG111207</v>
      </c>
      <c r="G204" s="5" t="str">
        <f>_xlfn.XLOOKUP([1]!Table134526_79101120212223242526[[#This Row],[Name Surname]],[1]Manpower!$C$4:$C$1048576,[1]Manpower!$F$4:$F$1048576,"")</f>
        <v>Assistant/Helper</v>
      </c>
      <c r="H204" s="5" t="str">
        <f>_xlfn.XLOOKUP([1]!Table134526_79101120212223242526[[#This Row],[Name Surname]],[1]Manpower!$C$4:$C$1048576,[1]Manpower!$H$4:$H$1048576,"")</f>
        <v>Manpower</v>
      </c>
      <c r="I204" s="3" t="str">
        <f>_xlfn.XLOOKUP([1]!Table134526_79101120212223242526[[#This Row],[Name Surname]],[1]Manpower!$C$4:$C$1048576,[1]Manpower!$H$4:$H$1048576,"")</f>
        <v>Manpower</v>
      </c>
      <c r="J204" s="5" t="s">
        <v>9</v>
      </c>
      <c r="K204" s="5" t="s">
        <v>7</v>
      </c>
      <c r="L204" s="5" t="s">
        <v>10</v>
      </c>
      <c r="M204" s="5" t="s">
        <v>5</v>
      </c>
      <c r="N204" s="6">
        <v>10</v>
      </c>
      <c r="O204" s="5" t="s">
        <v>11</v>
      </c>
      <c r="P204" s="5" t="s">
        <v>12</v>
      </c>
      <c r="Q204" s="5" t="s">
        <v>13</v>
      </c>
      <c r="R204" s="5" t="s">
        <v>7</v>
      </c>
      <c r="S204" s="8"/>
    </row>
    <row r="205" spans="1:19" x14ac:dyDescent="0.3">
      <c r="A205" s="9" t="e">
        <f>IF(C205="","",MAX($A$2:A204)+1)</f>
        <v>#REF!</v>
      </c>
      <c r="B205" s="10" t="s">
        <v>0</v>
      </c>
      <c r="C205" s="11">
        <v>46090</v>
      </c>
      <c r="D205" s="13" t="str">
        <f>_xlfn.XLOOKUP([1]!Table134526_79101120212223242526[[#This Row],[Name Surname]],[1]Manpower!$C$4:$C$1048576,[1]Manpower!$B$4:$B$1048576,"")</f>
        <v>Encogroup</v>
      </c>
      <c r="E205" s="11" t="s">
        <v>8</v>
      </c>
      <c r="F205" s="12">
        <f>_xlfn.XLOOKUP([1]!Table134526_79101120212223242526[[#This Row],[Name Surname]],[1]Manpower!C:C,[1]Manpower!D:D,)</f>
        <v>140844778</v>
      </c>
      <c r="G205" s="13" t="str">
        <f>_xlfn.XLOOKUP([1]!Table134526_79101120212223242526[[#This Row],[Name Surname]],[1]Manpower!$C$4:$C$1048576,[1]Manpower!$F$4:$F$1048576,"")</f>
        <v>Painter</v>
      </c>
      <c r="H205" s="13" t="str">
        <f>_xlfn.XLOOKUP([1]!Table134526_79101120212223242526[[#This Row],[Name Surname]],[1]Manpower!$C$4:$C$1048576,[1]Manpower!$H$4:$H$1048576,"")</f>
        <v>Manpower</v>
      </c>
      <c r="I205" s="11" t="str">
        <f>_xlfn.XLOOKUP([1]!Table134526_79101120212223242526[[#This Row],[Name Surname]],[1]Manpower!$C$4:$C$1048576,[1]Manpower!$H$4:$H$1048576,"")</f>
        <v>Manpower</v>
      </c>
      <c r="J205" s="13" t="s">
        <v>9</v>
      </c>
      <c r="K205" s="13" t="s">
        <v>7</v>
      </c>
      <c r="L205" s="13" t="s">
        <v>10</v>
      </c>
      <c r="M205" s="13" t="s">
        <v>5</v>
      </c>
      <c r="N205" s="14">
        <v>10</v>
      </c>
      <c r="O205" s="13" t="s">
        <v>11</v>
      </c>
      <c r="P205" s="13" t="s">
        <v>12</v>
      </c>
      <c r="Q205" s="13" t="s">
        <v>13</v>
      </c>
      <c r="R205" s="13" t="s">
        <v>7</v>
      </c>
      <c r="S205" s="15"/>
    </row>
    <row r="206" spans="1:19" x14ac:dyDescent="0.3">
      <c r="A206" s="1" t="e">
        <f>IF(C206="","",MAX($A$2:A205)+1)</f>
        <v>#REF!</v>
      </c>
      <c r="B206" s="10" t="s">
        <v>0</v>
      </c>
      <c r="C206" s="3">
        <v>46090</v>
      </c>
      <c r="D206" s="5" t="str">
        <f>_xlfn.XLOOKUP([1]!Table134526_79101120212223242526[[#This Row],[Name Surname]],[1]Manpower!$C$4:$C$1048576,[1]Manpower!$B$4:$B$1048576,"")</f>
        <v>Encogroup</v>
      </c>
      <c r="E206" s="3" t="s">
        <v>15</v>
      </c>
      <c r="F206" s="4">
        <f>_xlfn.XLOOKUP([1]!Table134526_79101120212223242526[[#This Row],[Name Surname]],[1]Manpower!C:C,[1]Manpower!D:D,)</f>
        <v>141365037</v>
      </c>
      <c r="G206" s="5" t="str">
        <f>_xlfn.XLOOKUP([1]!Table134526_79101120212223242526[[#This Row],[Name Surname]],[1]Manpower!$C$4:$C$1048576,[1]Manpower!$F$4:$F$1048576,"")</f>
        <v>Painter</v>
      </c>
      <c r="H206" s="5" t="str">
        <f>_xlfn.XLOOKUP([1]!Table134526_79101120212223242526[[#This Row],[Name Surname]],[1]Manpower!$C$4:$C$1048576,[1]Manpower!$H$4:$H$1048576,"")</f>
        <v>Manpower</v>
      </c>
      <c r="I206" s="3" t="str">
        <f>_xlfn.XLOOKUP([1]!Table134526_79101120212223242526[[#This Row],[Name Surname]],[1]Manpower!$C$4:$C$1048576,[1]Manpower!$H$4:$H$1048576,"")</f>
        <v>Manpower</v>
      </c>
      <c r="J206" s="5" t="s">
        <v>9</v>
      </c>
      <c r="K206" s="5" t="s">
        <v>7</v>
      </c>
      <c r="L206" s="5" t="s">
        <v>10</v>
      </c>
      <c r="M206" s="5" t="s">
        <v>5</v>
      </c>
      <c r="N206" s="6">
        <v>10</v>
      </c>
      <c r="O206" s="5" t="s">
        <v>6</v>
      </c>
      <c r="P206" s="5" t="s">
        <v>12</v>
      </c>
      <c r="Q206" s="5" t="s">
        <v>29</v>
      </c>
      <c r="R206" s="5" t="s">
        <v>7</v>
      </c>
      <c r="S206" s="8"/>
    </row>
    <row r="207" spans="1:19" x14ac:dyDescent="0.3">
      <c r="A207" s="9" t="e">
        <f>IF(C207="","",MAX($A$2:A206)+1)</f>
        <v>#REF!</v>
      </c>
      <c r="B207" s="10" t="s">
        <v>0</v>
      </c>
      <c r="C207" s="11">
        <v>46090</v>
      </c>
      <c r="D207" s="13" t="str">
        <f>_xlfn.XLOOKUP([1]!Table134526_79101120212223242526[[#This Row],[Name Surname]],[1]Manpower!$C$4:$C$1048576,[1]Manpower!$B$4:$B$1048576,"")</f>
        <v>Encogroup</v>
      </c>
      <c r="E207" s="11" t="s">
        <v>17</v>
      </c>
      <c r="F207" s="12">
        <f>_xlfn.XLOOKUP([1]!Table134526_79101120212223242526[[#This Row],[Name Surname]],[1]Manpower!C:C,[1]Manpower!D:D,)</f>
        <v>141377709</v>
      </c>
      <c r="G207" s="13" t="str">
        <f>_xlfn.XLOOKUP([1]!Table134526_79101120212223242526[[#This Row],[Name Surname]],[1]Manpower!$C$4:$C$1048576,[1]Manpower!$F$4:$F$1048576,"")</f>
        <v>Helper</v>
      </c>
      <c r="H207" s="13" t="str">
        <f>_xlfn.XLOOKUP([1]!Table134526_79101120212223242526[[#This Row],[Name Surname]],[1]Manpower!$C$4:$C$1048576,[1]Manpower!$H$4:$H$1048576,"")</f>
        <v>Manpower</v>
      </c>
      <c r="I207" s="11" t="str">
        <f>_xlfn.XLOOKUP([1]!Table134526_79101120212223242526[[#This Row],[Name Surname]],[1]Manpower!$C$4:$C$1048576,[1]Manpower!$H$4:$H$1048576,"")</f>
        <v>Manpower</v>
      </c>
      <c r="J207" s="13" t="s">
        <v>9</v>
      </c>
      <c r="K207" s="13" t="s">
        <v>7</v>
      </c>
      <c r="L207" s="13" t="s">
        <v>10</v>
      </c>
      <c r="M207" s="13" t="s">
        <v>18</v>
      </c>
      <c r="N207" s="14">
        <v>10</v>
      </c>
      <c r="O207" s="13"/>
      <c r="P207" s="13"/>
      <c r="Q207" s="13"/>
      <c r="R207" s="13" t="s">
        <v>19</v>
      </c>
      <c r="S207" s="15"/>
    </row>
    <row r="208" spans="1:19" x14ac:dyDescent="0.3">
      <c r="A208" s="1" t="e">
        <f>IF(C208="","",MAX($A$2:A207)+1)</f>
        <v>#REF!</v>
      </c>
      <c r="B208" s="10" t="s">
        <v>0</v>
      </c>
      <c r="C208" s="3">
        <v>46090</v>
      </c>
      <c r="D208" s="3" t="str">
        <f>_xlfn.XLOOKUP([1]!Table134526_79101120212223242526[[#This Row],[Name Surname]],[1]Manpower!$C$4:$C$1048576,[1]Manpower!$B$4:$B$1048576,"")</f>
        <v>Encogroup</v>
      </c>
      <c r="E208" s="3" t="s">
        <v>20</v>
      </c>
      <c r="F208" s="4">
        <f>_xlfn.XLOOKUP([1]!Table134526_79101120212223242526[[#This Row],[Name Surname]],[1]Manpower!C:C,[1]Manpower!D:D,)</f>
        <v>140805554</v>
      </c>
      <c r="G208" s="3" t="str">
        <f>_xlfn.XLOOKUP([1]!Table134526_79101120212223242526[[#This Row],[Name Surname]],[1]Manpower!$C$4:$C$1048576,[1]Manpower!$F$4:$F$1048576,"")</f>
        <v>Assistant/Helper</v>
      </c>
      <c r="H208" s="3" t="str">
        <f>_xlfn.XLOOKUP([1]!Table134526_79101120212223242526[[#This Row],[Name Surname]],[1]Manpower!$C$4:$C$1048576,[1]Manpower!$H$4:$H$1048576,"")</f>
        <v>Manpower</v>
      </c>
      <c r="I208" s="3" t="str">
        <f>_xlfn.XLOOKUP([1]!Table134526_79101120212223242526[[#This Row],[Name Surname]],[1]Manpower!$C$4:$C$1048576,[1]Manpower!$H$4:$H$1048576,"")</f>
        <v>Manpower</v>
      </c>
      <c r="J208" s="5" t="s">
        <v>9</v>
      </c>
      <c r="K208" s="5" t="s">
        <v>7</v>
      </c>
      <c r="L208" s="5" t="s">
        <v>10</v>
      </c>
      <c r="M208" s="5" t="s">
        <v>5</v>
      </c>
      <c r="N208" s="6">
        <v>10</v>
      </c>
      <c r="O208" s="5" t="s">
        <v>6</v>
      </c>
      <c r="P208" s="5" t="s">
        <v>12</v>
      </c>
      <c r="Q208" s="5" t="s">
        <v>12</v>
      </c>
      <c r="R208" s="5" t="s">
        <v>7</v>
      </c>
      <c r="S208" s="8"/>
    </row>
    <row r="209" spans="1:19" x14ac:dyDescent="0.3">
      <c r="A209" s="9" t="e">
        <f>IF(C209="","",MAX($A$2:A208)+1)</f>
        <v>#REF!</v>
      </c>
      <c r="B209" s="16" t="s">
        <v>21</v>
      </c>
      <c r="C209" s="11">
        <v>46090</v>
      </c>
      <c r="D209" s="13" t="str">
        <f>_xlfn.XLOOKUP([1]!Table134526_79101120212223242526[[#This Row],[Name Surname]],[1]Manpower!$C$4:$C$1048576,[1]Manpower!$B$4:$B$1048576,"")</f>
        <v>Encogroup</v>
      </c>
      <c r="E209" s="11" t="s">
        <v>22</v>
      </c>
      <c r="F209" s="12">
        <f>_xlfn.XLOOKUP([1]!Table134526_79101120212223242526[[#This Row],[Name Surname]],[1]Manpower!C:C,[1]Manpower!D:D,)</f>
        <v>141169033</v>
      </c>
      <c r="G209" s="13" t="str">
        <f>_xlfn.XLOOKUP([1]!Table134526_79101120212223242526[[#This Row],[Name Surname]],[1]Manpower!$C$4:$C$1048576,[1]Manpower!$F$4:$F$1048576,"")</f>
        <v>Welder</v>
      </c>
      <c r="H209" s="13" t="str">
        <f>_xlfn.XLOOKUP([1]!Table134526_79101120212223242526[[#This Row],[Name Surname]],[1]Manpower!$C$4:$C$1048576,[1]Manpower!$H$4:$H$1048576,"")</f>
        <v>Manpower</v>
      </c>
      <c r="I209" s="11" t="str">
        <f>_xlfn.XLOOKUP([1]!Table134526_79101120212223242526[[#This Row],[Name Surname]],[1]Manpower!$C$4:$C$1048576,[1]Manpower!$H$4:$H$1048576,"")</f>
        <v>Manpower</v>
      </c>
      <c r="J209" s="13" t="s">
        <v>23</v>
      </c>
      <c r="K209" s="13" t="s">
        <v>69</v>
      </c>
      <c r="L209" s="13" t="s">
        <v>25</v>
      </c>
      <c r="M209" s="13" t="s">
        <v>5</v>
      </c>
      <c r="N209" s="14">
        <v>10</v>
      </c>
      <c r="O209" s="13" t="s">
        <v>6</v>
      </c>
      <c r="P209" s="13" t="s">
        <v>12</v>
      </c>
      <c r="Q209" s="13" t="s">
        <v>26</v>
      </c>
      <c r="R209" s="13" t="s">
        <v>70</v>
      </c>
      <c r="S209" s="15"/>
    </row>
    <row r="210" spans="1:19" x14ac:dyDescent="0.3">
      <c r="A210" s="1" t="e">
        <f>IF(C210="","",MAX($A$2:A209)+1)</f>
        <v>#REF!</v>
      </c>
      <c r="B210" s="16" t="s">
        <v>21</v>
      </c>
      <c r="C210" s="3">
        <v>46090</v>
      </c>
      <c r="D210" s="5" t="str">
        <f>_xlfn.XLOOKUP([1]!Table134526_79101120212223242526[[#This Row],[Name Surname]],[1]Manpower!$C$4:$C$1048576,[1]Manpower!$B$4:$B$1048576,"")</f>
        <v>Encogroup</v>
      </c>
      <c r="E210" s="3" t="s">
        <v>28</v>
      </c>
      <c r="F210" s="4">
        <f>_xlfn.XLOOKUP([1]!Table134526_79101120212223242526[[#This Row],[Name Surname]],[1]Manpower!C:C,[1]Manpower!D:D,)</f>
        <v>141169028</v>
      </c>
      <c r="G210" s="5" t="str">
        <f>_xlfn.XLOOKUP([1]!Table134526_79101120212223242526[[#This Row],[Name Surname]],[1]Manpower!$C$4:$C$1048576,[1]Manpower!$F$4:$F$1048576,"")</f>
        <v>Welder</v>
      </c>
      <c r="H210" s="5" t="str">
        <f>_xlfn.XLOOKUP([1]!Table134526_79101120212223242526[[#This Row],[Name Surname]],[1]Manpower!$C$4:$C$1048576,[1]Manpower!$H$4:$H$1048576,"")</f>
        <v>Manpower</v>
      </c>
      <c r="I210" s="3" t="str">
        <f>_xlfn.XLOOKUP([1]!Table134526_79101120212223242526[[#This Row],[Name Surname]],[1]Manpower!$C$4:$C$1048576,[1]Manpower!$H$4:$H$1048576,"")</f>
        <v>Manpower</v>
      </c>
      <c r="J210" s="5" t="s">
        <v>23</v>
      </c>
      <c r="K210" s="5" t="s">
        <v>71</v>
      </c>
      <c r="L210" s="5" t="s">
        <v>25</v>
      </c>
      <c r="M210" s="5" t="s">
        <v>5</v>
      </c>
      <c r="N210" s="6">
        <v>10</v>
      </c>
      <c r="O210" s="5" t="s">
        <v>6</v>
      </c>
      <c r="P210" s="5" t="s">
        <v>12</v>
      </c>
      <c r="Q210" s="5" t="s">
        <v>26</v>
      </c>
      <c r="R210" s="5" t="s">
        <v>30</v>
      </c>
      <c r="S210" s="8"/>
    </row>
    <row r="211" spans="1:19" x14ac:dyDescent="0.3">
      <c r="A211" s="9" t="e">
        <f>IF(C211="","",MAX($A$2:A210)+1)</f>
        <v>#REF!</v>
      </c>
      <c r="B211" s="16" t="s">
        <v>21</v>
      </c>
      <c r="C211" s="11">
        <v>46090</v>
      </c>
      <c r="D211" s="13" t="str">
        <f>_xlfn.XLOOKUP([1]!Table134526_79101120212223242526[[#This Row],[Name Surname]],[1]Manpower!$C$4:$C$1048576,[1]Manpower!$B$4:$B$1048576,"")</f>
        <v>Encogroup</v>
      </c>
      <c r="E211" s="11" t="s">
        <v>31</v>
      </c>
      <c r="F211" s="12">
        <f>_xlfn.XLOOKUP([1]!Table134526_79101120212223242526[[#This Row],[Name Surname]],[1]Manpower!C:C,[1]Manpower!D:D,)</f>
        <v>140805568</v>
      </c>
      <c r="G211" s="13" t="str">
        <f>_xlfn.XLOOKUP([1]!Table134526_79101120212223242526[[#This Row],[Name Surname]],[1]Manpower!$C$4:$C$1048576,[1]Manpower!$F$4:$F$1048576,"")</f>
        <v>Assistant/Helper</v>
      </c>
      <c r="H211" s="13" t="str">
        <f>_xlfn.XLOOKUP([1]!Table134526_79101120212223242526[[#This Row],[Name Surname]],[1]Manpower!$C$4:$C$1048576,[1]Manpower!$H$4:$H$1048576,"")</f>
        <v>Manpower</v>
      </c>
      <c r="I211" s="11" t="str">
        <f>_xlfn.XLOOKUP([1]!Table134526_79101120212223242526[[#This Row],[Name Surname]],[1]Manpower!$C$4:$C$1048576,[1]Manpower!$H$4:$H$1048576,"")</f>
        <v>Manpower</v>
      </c>
      <c r="J211" s="13" t="s">
        <v>23</v>
      </c>
      <c r="K211" s="13" t="s">
        <v>72</v>
      </c>
      <c r="L211" s="13" t="s">
        <v>25</v>
      </c>
      <c r="M211" s="13" t="s">
        <v>5</v>
      </c>
      <c r="N211" s="14">
        <v>10</v>
      </c>
      <c r="O211" s="13" t="s">
        <v>11</v>
      </c>
      <c r="P211" s="13" t="s">
        <v>12</v>
      </c>
      <c r="Q211" s="13" t="s">
        <v>13</v>
      </c>
      <c r="R211" s="13" t="s">
        <v>73</v>
      </c>
      <c r="S211" s="15"/>
    </row>
    <row r="212" spans="1:19" x14ac:dyDescent="0.3">
      <c r="A212" s="1" t="e">
        <f>IF(C212="","",MAX($A$2:A211)+1)</f>
        <v>#REF!</v>
      </c>
      <c r="B212" s="16" t="s">
        <v>21</v>
      </c>
      <c r="C212" s="3">
        <v>46090</v>
      </c>
      <c r="D212" s="5" t="str">
        <f>_xlfn.XLOOKUP([1]!Table134526_79101120212223242526[[#This Row],[Name Surname]],[1]Manpower!$C$4:$C$1048576,[1]Manpower!$B$4:$B$1048576,"")</f>
        <v>AL Saif &amp; Al QALLM ENT LLC</v>
      </c>
      <c r="E212" s="3" t="s">
        <v>32</v>
      </c>
      <c r="F212" s="4">
        <f>_xlfn.XLOOKUP([1]!Table134526_79101120212223242526[[#This Row],[Name Surname]],[1]Manpower!C:C,[1]Manpower!D:D,)</f>
        <v>76647648</v>
      </c>
      <c r="G212" s="5" t="str">
        <f>_xlfn.XLOOKUP([1]!Table134526_79101120212223242526[[#This Row],[Name Surname]],[1]Manpower!$C$4:$C$1048576,[1]Manpower!$F$4:$F$1048576,"")</f>
        <v>RIgger</v>
      </c>
      <c r="H212" s="5" t="str">
        <f>_xlfn.XLOOKUP([1]!Table134526_79101120212223242526[[#This Row],[Name Surname]],[1]Manpower!$C$4:$C$1048576,[1]Manpower!$H$4:$H$1048576,"")</f>
        <v>Sub Contactor</v>
      </c>
      <c r="I212" s="3" t="str">
        <f>_xlfn.XLOOKUP([1]!Table134526_79101120212223242526[[#This Row],[Name Surname]],[1]Manpower!$C$4:$C$1048576,[1]Manpower!$H$4:$H$1048576,"")</f>
        <v>Sub Contactor</v>
      </c>
      <c r="J212" s="5" t="s">
        <v>23</v>
      </c>
      <c r="K212" s="5" t="s">
        <v>24</v>
      </c>
      <c r="L212" s="5" t="s">
        <v>25</v>
      </c>
      <c r="M212" s="5" t="s">
        <v>5</v>
      </c>
      <c r="N212" s="6">
        <v>10</v>
      </c>
      <c r="O212" s="5" t="s">
        <v>33</v>
      </c>
      <c r="P212" s="5" t="s">
        <v>33</v>
      </c>
      <c r="Q212" s="5" t="s">
        <v>33</v>
      </c>
      <c r="R212" s="5" t="s">
        <v>7</v>
      </c>
      <c r="S212" s="8"/>
    </row>
    <row r="213" spans="1:19" x14ac:dyDescent="0.3">
      <c r="A213" s="9" t="e">
        <f>IF(C213="","",MAX($A$2:A210)+1)</f>
        <v>#REF!</v>
      </c>
      <c r="B213" s="16" t="s">
        <v>21</v>
      </c>
      <c r="C213" s="11">
        <v>46090</v>
      </c>
      <c r="D213" s="13" t="str">
        <f>_xlfn.XLOOKUP([1]!Table134526_79101120212223242526[[#This Row],[Name Surname]],[1]Manpower!$C$4:$C$1048576,[1]Manpower!$B$4:$B$1048576,"")</f>
        <v>Rabwu Ahamal AL Khaleej Trad</v>
      </c>
      <c r="E213" s="11" t="s">
        <v>34</v>
      </c>
      <c r="F213" s="12">
        <f>_xlfn.XLOOKUP([1]!Table134526_79101120212223242526[[#This Row],[Name Surname]],[1]Manpower!C:C,[1]Manpower!D:D,)</f>
        <v>131431131</v>
      </c>
      <c r="G213" s="13" t="str">
        <f>_xlfn.XLOOKUP([1]!Table134526_79101120212223242526[[#This Row],[Name Surname]],[1]Manpower!$C$4:$C$1048576,[1]Manpower!$F$4:$F$1048576,"")</f>
        <v>RIgger</v>
      </c>
      <c r="H213" s="13" t="str">
        <f>_xlfn.XLOOKUP([1]!Table134526_79101120212223242526[[#This Row],[Name Surname]],[1]Manpower!$C$4:$C$1048576,[1]Manpower!$H$4:$H$1048576,"")</f>
        <v>Sub Contactor</v>
      </c>
      <c r="I213" s="11" t="str">
        <f>_xlfn.XLOOKUP([1]!Table134526_79101120212223242526[[#This Row],[Name Surname]],[1]Manpower!$C$4:$C$1048576,[1]Manpower!$H$4:$H$1048576,"")</f>
        <v>Sub Contactor</v>
      </c>
      <c r="J213" s="13" t="s">
        <v>23</v>
      </c>
      <c r="K213" s="13" t="s">
        <v>74</v>
      </c>
      <c r="L213" s="13" t="s">
        <v>25</v>
      </c>
      <c r="M213" s="13" t="s">
        <v>5</v>
      </c>
      <c r="N213" s="14">
        <v>10</v>
      </c>
      <c r="O213" s="13" t="s">
        <v>35</v>
      </c>
      <c r="P213" s="13" t="s">
        <v>35</v>
      </c>
      <c r="Q213" s="13" t="s">
        <v>35</v>
      </c>
      <c r="R213" s="13" t="s">
        <v>7</v>
      </c>
      <c r="S213" s="15"/>
    </row>
    <row r="214" spans="1:19" x14ac:dyDescent="0.3">
      <c r="A214" s="1" t="e">
        <f>IF(C214="","",MAX($A$2:A213)+1)</f>
        <v>#REF!</v>
      </c>
      <c r="B214" s="17" t="s">
        <v>36</v>
      </c>
      <c r="C214" s="3">
        <v>46090</v>
      </c>
      <c r="D214" s="5" t="str">
        <f>_xlfn.XLOOKUP([1]!Table134526_79101120212223242526[[#This Row],[Name Surname]],[1]Manpower!$C$4:$C$1048576,[1]Manpower!$B$4:$B$1048576,"")</f>
        <v>AL Saif &amp; Al QALLM ENT LLC</v>
      </c>
      <c r="E214" s="3" t="s">
        <v>37</v>
      </c>
      <c r="F214" s="4">
        <f>_xlfn.XLOOKUP([1]!Table134526_79101120212223242526[[#This Row],[Name Surname]],[1]Manpower!C:C,[1]Manpower!D:D,)</f>
        <v>135762195</v>
      </c>
      <c r="G214" s="5" t="str">
        <f>_xlfn.XLOOKUP([1]!Table134526_79101120212223242526[[#This Row],[Name Surname]],[1]Manpower!$C$4:$C$1048576,[1]Manpower!$F$4:$F$1048576,"")</f>
        <v>HSE Officer</v>
      </c>
      <c r="H214" s="5" t="str">
        <f>_xlfn.XLOOKUP([1]!Table134526_79101120212223242526[[#This Row],[Name Surname]],[1]Manpower!$C$4:$C$1048576,[1]Manpower!$H$4:$H$1048576,"")</f>
        <v>Sub Contactor</v>
      </c>
      <c r="I214" s="3" t="str">
        <f>_xlfn.XLOOKUP([1]!Table134526_79101120212223242526[[#This Row],[Name Surname]],[1]Manpower!$C$4:$C$1048576,[1]Manpower!$H$4:$H$1048576,"")</f>
        <v>Sub Contactor</v>
      </c>
      <c r="J214" s="5" t="s">
        <v>38</v>
      </c>
      <c r="K214" s="5" t="s">
        <v>7</v>
      </c>
      <c r="L214" s="5" t="s">
        <v>39</v>
      </c>
      <c r="M214" s="5" t="s">
        <v>5</v>
      </c>
      <c r="N214" s="6">
        <v>10</v>
      </c>
      <c r="O214" s="5" t="s">
        <v>33</v>
      </c>
      <c r="P214" s="5" t="s">
        <v>33</v>
      </c>
      <c r="Q214" s="5" t="s">
        <v>33</v>
      </c>
      <c r="R214" s="5" t="s">
        <v>7</v>
      </c>
      <c r="S214" s="8"/>
    </row>
    <row r="215" spans="1:19" x14ac:dyDescent="0.3">
      <c r="A215" s="9" t="e">
        <f>IF(C215="","",MAX($A$2:A214)+1)</f>
        <v>#REF!</v>
      </c>
      <c r="B215" s="17" t="s">
        <v>36</v>
      </c>
      <c r="C215" s="11">
        <v>46090</v>
      </c>
      <c r="D215" s="13" t="str">
        <f>_xlfn.XLOOKUP([1]!Table134526_79101120212223242526[[#This Row],[Name Surname]],[1]Manpower!$C$4:$C$1048576,[1]Manpower!$B$4:$B$1048576,"")</f>
        <v>Encogroup</v>
      </c>
      <c r="E215" s="13" t="s">
        <v>40</v>
      </c>
      <c r="F215" s="12">
        <f>_xlfn.XLOOKUP([1]!Table134526_79101120212223242526[[#This Row],[Name Surname]],[1]Manpower!C:C,[1]Manpower!D:D,)</f>
        <v>140846684</v>
      </c>
      <c r="G215" s="13" t="str">
        <f>_xlfn.XLOOKUP([1]!Table134526_79101120212223242526[[#This Row],[Name Surname]],[1]Manpower!$C$4:$C$1048576,[1]Manpower!$F$4:$F$1048576,"")</f>
        <v>Assistant/Helper</v>
      </c>
      <c r="H215" s="13" t="str">
        <f>_xlfn.XLOOKUP([1]!Table134526_79101120212223242526[[#This Row],[Name Surname]],[1]Manpower!$C$4:$C$1048576,[1]Manpower!$H$4:$H$1048576,"")</f>
        <v>Manpower</v>
      </c>
      <c r="I215" s="11" t="str">
        <f>_xlfn.XLOOKUP([1]!Table134526_79101120212223242526[[#This Row],[Name Surname]],[1]Manpower!$C$4:$C$1048576,[1]Manpower!$H$4:$H$1048576,"")</f>
        <v>Manpower</v>
      </c>
      <c r="J215" s="13" t="s">
        <v>38</v>
      </c>
      <c r="K215" s="13" t="s">
        <v>7</v>
      </c>
      <c r="L215" s="13" t="s">
        <v>39</v>
      </c>
      <c r="M215" s="13" t="s">
        <v>5</v>
      </c>
      <c r="N215" s="14">
        <v>10</v>
      </c>
      <c r="O215" s="13" t="s">
        <v>33</v>
      </c>
      <c r="P215" s="13" t="s">
        <v>33</v>
      </c>
      <c r="Q215" s="13" t="s">
        <v>33</v>
      </c>
      <c r="R215" s="13" t="s">
        <v>7</v>
      </c>
      <c r="S215" s="15"/>
    </row>
    <row r="216" spans="1:19" x14ac:dyDescent="0.3">
      <c r="A216" s="1" t="e">
        <f>IF(C216="","",MAX($A$2:A214)+1)</f>
        <v>#REF!</v>
      </c>
      <c r="B216" s="17" t="s">
        <v>36</v>
      </c>
      <c r="C216" s="3">
        <v>46090</v>
      </c>
      <c r="D216" s="5" t="str">
        <f>_xlfn.XLOOKUP([1]!Table134526_79101120212223242526[[#This Row],[Name Surname]],[1]Manpower!$C$4:$C$1048576,[1]Manpower!$B$4:$B$1048576,"")</f>
        <v>Encogroup</v>
      </c>
      <c r="E216" s="3" t="s">
        <v>41</v>
      </c>
      <c r="F216" s="4">
        <f>_xlfn.XLOOKUP([1]!Table134526_79101120212223242526[[#This Row],[Name Surname]],[1]Manpower!C:C,[1]Manpower!D:D,)</f>
        <v>141250908</v>
      </c>
      <c r="G216" s="5" t="str">
        <f>_xlfn.XLOOKUP([1]!Table134526_79101120212223242526[[#This Row],[Name Surname]],[1]Manpower!$C$4:$C$1048576,[1]Manpower!$F$4:$F$1048576,"")</f>
        <v>Mechanical Engineer</v>
      </c>
      <c r="H216" s="5" t="str">
        <f>_xlfn.XLOOKUP([1]!Table134526_79101120212223242526[[#This Row],[Name Surname]],[1]Manpower!$C$4:$C$1048576,[1]Manpower!$H$4:$H$1048576,"")</f>
        <v>Manpower</v>
      </c>
      <c r="I216" s="3" t="str">
        <f>_xlfn.XLOOKUP([1]!Table134526_79101120212223242526[[#This Row],[Name Surname]],[1]Manpower!$C$4:$C$1048576,[1]Manpower!$H$4:$H$1048576,"")</f>
        <v>Manpower</v>
      </c>
      <c r="J216" s="5" t="s">
        <v>38</v>
      </c>
      <c r="K216" s="5" t="s">
        <v>7</v>
      </c>
      <c r="L216" s="5" t="s">
        <v>39</v>
      </c>
      <c r="M216" s="5" t="s">
        <v>18</v>
      </c>
      <c r="N216" s="6">
        <v>10</v>
      </c>
      <c r="O216" s="5"/>
      <c r="P216" s="5"/>
      <c r="Q216" s="5"/>
      <c r="R216" s="5" t="s">
        <v>75</v>
      </c>
      <c r="S216" s="8"/>
    </row>
    <row r="217" spans="1:19" x14ac:dyDescent="0.3">
      <c r="A217" s="9" t="e">
        <f>IF(C217="","",MAX($A$2:A216)+1)</f>
        <v>#REF!</v>
      </c>
      <c r="B217" s="17" t="s">
        <v>36</v>
      </c>
      <c r="C217" s="11">
        <v>46090</v>
      </c>
      <c r="D217" s="13" t="str">
        <f>_xlfn.XLOOKUP([1]!Table134526_79101120212223242526[[#This Row],[Name Surname]],[1]Manpower!$C$4:$C$1048576,[1]Manpower!$B$4:$B$1048576,"")</f>
        <v>Encogroup</v>
      </c>
      <c r="E217" s="11" t="s">
        <v>43</v>
      </c>
      <c r="F217" s="12" t="e">
        <f>_xlfn.XLOOKUP([1]!Table134526_79101120212223242526[[#This Row],[Name Surname]],[1]Manpower!C:C,[1]Manpower!D:D,)</f>
        <v>#N/A</v>
      </c>
      <c r="G217" s="13" t="str">
        <f>_xlfn.XLOOKUP([1]!Table134526_79101120212223242526[[#This Row],[Name Surname]],[1]Manpower!$C$4:$C$1048576,[1]Manpower!$F$4:$F$1048576,"")</f>
        <v>55 Seat Bus</v>
      </c>
      <c r="H217" s="13" t="str">
        <f>_xlfn.XLOOKUP([1]!Table134526_79101120212223242526[[#This Row],[Name Surname]],[1]Manpower!$C$4:$C$1048576,[1]Manpower!$H$4:$H$1048576,"")</f>
        <v>Equipment</v>
      </c>
      <c r="I217" s="11" t="str">
        <f>_xlfn.XLOOKUP([1]!Table134526_79101120212223242526[[#This Row],[Name Surname]],[1]Manpower!$C$4:$C$1048576,[1]Manpower!$H$4:$H$1048576,"")</f>
        <v>Equipment</v>
      </c>
      <c r="J217" s="13" t="s">
        <v>38</v>
      </c>
      <c r="K217" s="13" t="s">
        <v>7</v>
      </c>
      <c r="L217" s="13" t="s">
        <v>39</v>
      </c>
      <c r="M217" s="13" t="s">
        <v>18</v>
      </c>
      <c r="N217" s="14">
        <v>10</v>
      </c>
      <c r="O217" s="13"/>
      <c r="P217" s="13"/>
      <c r="Q217" s="13"/>
      <c r="R217" s="13" t="s">
        <v>67</v>
      </c>
      <c r="S217" s="15"/>
    </row>
    <row r="218" spans="1:19" x14ac:dyDescent="0.3">
      <c r="A218" s="1" t="e">
        <f>IF(C218="","",MAX($A$2:A217)+1)</f>
        <v>#REF!</v>
      </c>
      <c r="B218" s="17" t="s">
        <v>36</v>
      </c>
      <c r="C218" s="3">
        <v>46090</v>
      </c>
      <c r="D218" s="5" t="str">
        <f>_xlfn.XLOOKUP([1]!Table134526_79101120212223242526[[#This Row],[Name Surname]],[1]Manpower!$C$4:$C$1048576,[1]Manpower!$B$4:$B$1048576,"")</f>
        <v>Encogroup</v>
      </c>
      <c r="E218" s="3" t="s">
        <v>45</v>
      </c>
      <c r="F218" s="4" t="e">
        <f>_xlfn.XLOOKUP([1]!Table134526_79101120212223242526[[#This Row],[Name Surname]],[1]Manpower!C:C,[1]Manpower!D:D,)</f>
        <v>#N/A</v>
      </c>
      <c r="G218" s="5" t="str">
        <f>_xlfn.XLOOKUP([1]!Table134526_79101120212223242526[[#This Row],[Name Surname]],[1]Manpower!$C$4:$C$1048576,[1]Manpower!$F$4:$F$1048576,"")</f>
        <v>TOWER LIGHT</v>
      </c>
      <c r="H218" s="5" t="str">
        <f>_xlfn.XLOOKUP([1]!Table134526_79101120212223242526[[#This Row],[Name Surname]],[1]Manpower!$C$4:$C$1048576,[1]Manpower!$H$4:$H$1048576,"")</f>
        <v>Equipment</v>
      </c>
      <c r="I218" s="3" t="str">
        <f>_xlfn.XLOOKUP([1]!Table134526_79101120212223242526[[#This Row],[Name Surname]],[1]Manpower!$C$4:$C$1048576,[1]Manpower!$H$4:$H$1048576,"")</f>
        <v>Equipment</v>
      </c>
      <c r="J218" s="5" t="s">
        <v>38</v>
      </c>
      <c r="K218" s="5" t="s">
        <v>7</v>
      </c>
      <c r="L218" s="5" t="s">
        <v>39</v>
      </c>
      <c r="M218" s="5" t="s">
        <v>5</v>
      </c>
      <c r="N218" s="6">
        <v>10</v>
      </c>
      <c r="O218" s="5" t="s">
        <v>11</v>
      </c>
      <c r="P218" s="5" t="s">
        <v>13</v>
      </c>
      <c r="Q218" s="5" t="s">
        <v>12</v>
      </c>
      <c r="R218" s="5" t="s">
        <v>7</v>
      </c>
      <c r="S218" s="8"/>
    </row>
    <row r="219" spans="1:19" x14ac:dyDescent="0.3">
      <c r="A219" s="9" t="e">
        <f>IF(C219="","",MAX($A$2:A218)+1)</f>
        <v>#REF!</v>
      </c>
      <c r="B219" s="17" t="s">
        <v>36</v>
      </c>
      <c r="C219" s="11">
        <v>46090</v>
      </c>
      <c r="D219" s="13" t="str">
        <f>_xlfn.XLOOKUP([1]!Table134526_79101120212223242526[[#This Row],[Name Surname]],[1]Manpower!$C$4:$C$1048576,[1]Manpower!$B$4:$B$1048576,"")</f>
        <v>Encogroup</v>
      </c>
      <c r="E219" s="11" t="s">
        <v>46</v>
      </c>
      <c r="F219" s="12" t="e">
        <f>_xlfn.XLOOKUP([1]!Table134526_79101120212223242526[[#This Row],[Name Surname]],[1]Manpower!C:C,[1]Manpower!D:D,)</f>
        <v>#N/A</v>
      </c>
      <c r="G219" s="13" t="str">
        <f>_xlfn.XLOOKUP([1]!Table134526_79101120212223242526[[#This Row],[Name Surname]],[1]Manpower!$C$4:$C$1048576,[1]Manpower!$F$4:$F$1048576,"")</f>
        <v>13 Seat Bus</v>
      </c>
      <c r="H219" s="13" t="str">
        <f>_xlfn.XLOOKUP([1]!Table134526_79101120212223242526[[#This Row],[Name Surname]],[1]Manpower!$C$4:$C$1048576,[1]Manpower!$H$4:$H$1048576,"")</f>
        <v>Equipment</v>
      </c>
      <c r="I219" s="11" t="str">
        <f>_xlfn.XLOOKUP([1]!Table134526_79101120212223242526[[#This Row],[Name Surname]],[1]Manpower!$C$4:$C$1048576,[1]Manpower!$H$4:$H$1048576,"")</f>
        <v>Equipment</v>
      </c>
      <c r="J219" s="13" t="s">
        <v>38</v>
      </c>
      <c r="K219" s="13" t="s">
        <v>7</v>
      </c>
      <c r="L219" s="13" t="s">
        <v>39</v>
      </c>
      <c r="M219" s="13" t="s">
        <v>18</v>
      </c>
      <c r="N219" s="14">
        <v>10</v>
      </c>
      <c r="O219" s="13"/>
      <c r="P219" s="13"/>
      <c r="Q219" s="13"/>
      <c r="R219" s="13" t="s">
        <v>68</v>
      </c>
      <c r="S219" s="15"/>
    </row>
    <row r="220" spans="1:19" x14ac:dyDescent="0.3">
      <c r="A220" s="1" t="e">
        <f>IF(C220="","",MAX($A$2:A219)+1)</f>
        <v>#REF!</v>
      </c>
      <c r="B220" s="17" t="s">
        <v>36</v>
      </c>
      <c r="C220" s="3">
        <v>46090</v>
      </c>
      <c r="D220" s="5" t="str">
        <f>_xlfn.XLOOKUP([1]!Table134526_79101120212223242526[[#This Row],[Name Surname]],[1]Manpower!$C$4:$C$1048576,[1]Manpower!$B$4:$B$1048576,"")</f>
        <v>Encogroup</v>
      </c>
      <c r="E220" s="3" t="s">
        <v>48</v>
      </c>
      <c r="F220" s="4" t="e">
        <f>_xlfn.XLOOKUP([1]!Table134526_79101120212223242526[[#This Row],[Name Surname]],[1]Manpower!C:C,[1]Manpower!D:D,)</f>
        <v>#N/A</v>
      </c>
      <c r="G220" s="5" t="str">
        <f>_xlfn.XLOOKUP([1]!Table134526_79101120212223242526[[#This Row],[Name Surname]],[1]Manpower!$C$4:$C$1048576,[1]Manpower!$F$4:$F$1048576,"")</f>
        <v>15 Seat Bus</v>
      </c>
      <c r="H220" s="5" t="str">
        <f>_xlfn.XLOOKUP([1]!Table134526_79101120212223242526[[#This Row],[Name Surname]],[1]Manpower!$C$4:$C$1048576,[1]Manpower!$H$4:$H$1048576,"")</f>
        <v>Equipment</v>
      </c>
      <c r="I220" s="3" t="str">
        <f>_xlfn.XLOOKUP([1]!Table134526_79101120212223242526[[#This Row],[Name Surname]],[1]Manpower!$C$4:$C$1048576,[1]Manpower!$H$4:$H$1048576,"")</f>
        <v>Equipment</v>
      </c>
      <c r="J220" s="5" t="s">
        <v>38</v>
      </c>
      <c r="K220" s="5" t="s">
        <v>7</v>
      </c>
      <c r="L220" s="5" t="s">
        <v>39</v>
      </c>
      <c r="M220" s="5" t="s">
        <v>5</v>
      </c>
      <c r="N220" s="6">
        <v>10</v>
      </c>
      <c r="O220" s="5" t="s">
        <v>33</v>
      </c>
      <c r="P220" s="5" t="s">
        <v>33</v>
      </c>
      <c r="Q220" s="5" t="s">
        <v>33</v>
      </c>
      <c r="R220" s="5" t="s">
        <v>7</v>
      </c>
      <c r="S220" s="8"/>
    </row>
    <row r="221" spans="1:19" x14ac:dyDescent="0.3">
      <c r="A221" s="9" t="e">
        <f>IF(C221="","",MAX($A$2:A220)+1)</f>
        <v>#REF!</v>
      </c>
      <c r="B221" s="17" t="s">
        <v>36</v>
      </c>
      <c r="C221" s="11">
        <v>46090</v>
      </c>
      <c r="D221" s="13" t="str">
        <f>_xlfn.XLOOKUP([1]!Table134526_79101120212223242526[[#This Row],[Name Surname]],[1]Manpower!$C$4:$C$1048576,[1]Manpower!$B$4:$B$1048576,"")</f>
        <v>Nass Group</v>
      </c>
      <c r="E221" s="11" t="s">
        <v>49</v>
      </c>
      <c r="F221" s="12" t="e">
        <f>_xlfn.XLOOKUP([1]!Table134526_79101120212223242526[[#This Row],[Name Surname]],[1]Manpower!C:C,[1]Manpower!D:D,)</f>
        <v>#N/A</v>
      </c>
      <c r="G221" s="13" t="str">
        <f>_xlfn.XLOOKUP([1]!Table134526_79101120212223242526[[#This Row],[Name Surname]],[1]Manpower!$C$4:$C$1048576,[1]Manpower!$F$4:$F$1048576,"")</f>
        <v>130T Crawler Crane</v>
      </c>
      <c r="H221" s="13" t="str">
        <f>_xlfn.XLOOKUP([1]!Table134526_79101120212223242526[[#This Row],[Name Surname]],[1]Manpower!$C$4:$C$1048576,[1]Manpower!$H$4:$H$1048576,"")</f>
        <v>Equipment</v>
      </c>
      <c r="I221" s="11" t="str">
        <f>_xlfn.XLOOKUP([1]!Table134526_79101120212223242526[[#This Row],[Name Surname]],[1]Manpower!$C$4:$C$1048576,[1]Manpower!$H$4:$H$1048576,"")</f>
        <v>Equipment</v>
      </c>
      <c r="J221" s="13" t="s">
        <v>38</v>
      </c>
      <c r="K221" s="13" t="s">
        <v>7</v>
      </c>
      <c r="L221" s="13" t="s">
        <v>39</v>
      </c>
      <c r="M221" s="13" t="s">
        <v>5</v>
      </c>
      <c r="N221" s="14">
        <v>10</v>
      </c>
      <c r="O221" s="13" t="s">
        <v>33</v>
      </c>
      <c r="P221" s="13" t="s">
        <v>33</v>
      </c>
      <c r="Q221" s="13" t="s">
        <v>33</v>
      </c>
      <c r="R221" s="13" t="s">
        <v>7</v>
      </c>
      <c r="S221" s="15"/>
    </row>
    <row r="222" spans="1:19" x14ac:dyDescent="0.3">
      <c r="A222" s="1" t="e">
        <f>IF(C222="","",MAX($A$2:A221)+1)</f>
        <v>#REF!</v>
      </c>
      <c r="B222" s="17" t="s">
        <v>36</v>
      </c>
      <c r="C222" s="3">
        <v>46090</v>
      </c>
      <c r="D222" s="5" t="str">
        <f>_xlfn.XLOOKUP([1]!Table134526_79101120212223242526[[#This Row],[Name Surname]],[1]Manpower!$C$4:$C$1048576,[1]Manpower!$B$4:$B$1048576,"")</f>
        <v>Nass Group</v>
      </c>
      <c r="E222" s="3" t="s">
        <v>50</v>
      </c>
      <c r="F222" s="4" t="e">
        <f>_xlfn.XLOOKUP([1]!Table134526_79101120212223242526[[#This Row],[Name Surname]],[1]Manpower!C:C,[1]Manpower!D:D,)</f>
        <v>#N/A</v>
      </c>
      <c r="G222" s="5" t="str">
        <f>_xlfn.XLOOKUP([1]!Table134526_79101120212223242526[[#This Row],[Name Surname]],[1]Manpower!$C$4:$C$1048576,[1]Manpower!$F$4:$F$1048576,"")</f>
        <v>70T-Telescopic crane</v>
      </c>
      <c r="H222" s="5" t="str">
        <f>_xlfn.XLOOKUP([1]!Table134526_79101120212223242526[[#This Row],[Name Surname]],[1]Manpower!$C$4:$C$1048576,[1]Manpower!$H$4:$H$1048576,"")</f>
        <v>Equipment</v>
      </c>
      <c r="I222" s="3" t="str">
        <f>_xlfn.XLOOKUP([1]!Table134526_79101120212223242526[[#This Row],[Name Surname]],[1]Manpower!$C$4:$C$1048576,[1]Manpower!$H$4:$H$1048576,"")</f>
        <v>Equipment</v>
      </c>
      <c r="J222" s="5" t="s">
        <v>38</v>
      </c>
      <c r="K222" s="5" t="s">
        <v>7</v>
      </c>
      <c r="L222" s="5" t="s">
        <v>39</v>
      </c>
      <c r="M222" s="5" t="s">
        <v>5</v>
      </c>
      <c r="N222" s="6">
        <v>10</v>
      </c>
      <c r="O222" s="5"/>
      <c r="P222" s="5"/>
      <c r="Q222" s="5"/>
      <c r="R222" s="5" t="s">
        <v>7</v>
      </c>
      <c r="S222" s="8"/>
    </row>
    <row r="223" spans="1:19" x14ac:dyDescent="0.3">
      <c r="A223" s="9" t="e">
        <f>IF(C223="","",MAX($A$2:A222)+1)</f>
        <v>#REF!</v>
      </c>
      <c r="B223" s="17" t="s">
        <v>36</v>
      </c>
      <c r="C223" s="11">
        <v>46090</v>
      </c>
      <c r="D223" s="13" t="str">
        <f>_xlfn.XLOOKUP([1]!Table134526_79101120212223242526[[#This Row],[Name Surname]],[1]Manpower!$C$4:$C$1048576,[1]Manpower!$B$4:$B$1048576,"")</f>
        <v>Encogroup</v>
      </c>
      <c r="E223" s="11" t="s">
        <v>51</v>
      </c>
      <c r="F223" s="12" t="e">
        <f>_xlfn.XLOOKUP([1]!Table134526_79101120212223242526[[#This Row],[Name Surname]],[1]Manpower!C:C,[1]Manpower!D:D,)</f>
        <v>#N/A</v>
      </c>
      <c r="G223" s="13" t="str">
        <f>_xlfn.XLOOKUP([1]!Table134526_79101120212223242526[[#This Row],[Name Surname]],[1]Manpower!$C$4:$C$1048576,[1]Manpower!$F$4:$F$1048576,"")</f>
        <v>14T Fork lift</v>
      </c>
      <c r="H223" s="13" t="str">
        <f>_xlfn.XLOOKUP([1]!Table134526_79101120212223242526[[#This Row],[Name Surname]],[1]Manpower!$C$4:$C$1048576,[1]Manpower!$H$4:$H$1048576,"")</f>
        <v>Equipment</v>
      </c>
      <c r="I223" s="11" t="str">
        <f>_xlfn.XLOOKUP([1]!Table134526_79101120212223242526[[#This Row],[Name Surname]],[1]Manpower!$C$4:$C$1048576,[1]Manpower!$H$4:$H$1048576,"")</f>
        <v>Equipment</v>
      </c>
      <c r="J223" s="13" t="s">
        <v>38</v>
      </c>
      <c r="K223" s="13" t="s">
        <v>7</v>
      </c>
      <c r="L223" s="13" t="s">
        <v>39</v>
      </c>
      <c r="M223" s="13" t="s">
        <v>18</v>
      </c>
      <c r="N223" s="14">
        <v>10</v>
      </c>
      <c r="O223" s="13"/>
      <c r="P223" s="13"/>
      <c r="Q223" s="13"/>
      <c r="R223" s="13" t="s">
        <v>19</v>
      </c>
      <c r="S223" s="15"/>
    </row>
    <row r="224" spans="1:19" x14ac:dyDescent="0.3">
      <c r="A224" s="1" t="e">
        <f>IF(C224="","",MAX($A$2:A223)+1)</f>
        <v>#REF!</v>
      </c>
      <c r="B224" s="17" t="s">
        <v>36</v>
      </c>
      <c r="C224" s="3">
        <v>46090</v>
      </c>
      <c r="D224" s="5" t="str">
        <f>_xlfn.XLOOKUP([1]!Table134526_79101120212223242526[[#This Row],[Name Surname]],[1]Manpower!$C$4:$C$1048576,[1]Manpower!$B$4:$B$1048576,"")</f>
        <v>Al Jaber Heavy Lift</v>
      </c>
      <c r="E224" s="3" t="s">
        <v>52</v>
      </c>
      <c r="F224" s="4" t="e">
        <f>_xlfn.XLOOKUP([1]!Table134526_79101120212223242526[[#This Row],[Name Surname]],[1]Manpower!C:C,[1]Manpower!D:D,)</f>
        <v>#N/A</v>
      </c>
      <c r="G224" s="5" t="str">
        <f>_xlfn.XLOOKUP([1]!Table134526_79101120212223242526[[#This Row],[Name Surname]],[1]Manpower!$C$4:$C$1048576,[1]Manpower!$F$4:$F$1048576,"")</f>
        <v>150T-Crawler Crane</v>
      </c>
      <c r="H224" s="5" t="str">
        <f>_xlfn.XLOOKUP([1]!Table134526_79101120212223242526[[#This Row],[Name Surname]],[1]Manpower!$C$4:$C$1048576,[1]Manpower!$H$4:$H$1048576,"")</f>
        <v>Equipment</v>
      </c>
      <c r="I224" s="3" t="str">
        <f>_xlfn.XLOOKUP([1]!Table134526_79101120212223242526[[#This Row],[Name Surname]],[1]Manpower!$C$4:$C$1048576,[1]Manpower!$H$4:$H$1048576,"")</f>
        <v>Equipment</v>
      </c>
      <c r="J224" s="5" t="s">
        <v>38</v>
      </c>
      <c r="K224" s="5" t="s">
        <v>7</v>
      </c>
      <c r="L224" s="5" t="s">
        <v>39</v>
      </c>
      <c r="M224" s="5" t="s">
        <v>5</v>
      </c>
      <c r="N224" s="6">
        <v>10</v>
      </c>
      <c r="O224" s="5" t="s">
        <v>33</v>
      </c>
      <c r="P224" s="5" t="s">
        <v>33</v>
      </c>
      <c r="Q224" s="5" t="s">
        <v>33</v>
      </c>
      <c r="R224" s="5" t="s">
        <v>7</v>
      </c>
      <c r="S224" s="8"/>
    </row>
    <row r="225" spans="1:19" x14ac:dyDescent="0.3">
      <c r="A225" s="9" t="e">
        <f>IF(C225="","",MAX($A$2:A224)+1)</f>
        <v>#REF!</v>
      </c>
      <c r="B225" s="17" t="s">
        <v>36</v>
      </c>
      <c r="C225" s="11">
        <v>46090</v>
      </c>
      <c r="D225" s="13" t="str">
        <f>_xlfn.XLOOKUP([1]!Table134526_79101120212223242526[[#This Row],[Name Surname]],[1]Manpower!$C$4:$C$1048576,[1]Manpower!$B$4:$B$1048576,"")</f>
        <v>Encogroup</v>
      </c>
      <c r="E225" s="11" t="s">
        <v>53</v>
      </c>
      <c r="F225" s="12" t="e">
        <f>_xlfn.XLOOKUP([1]!Table134526_79101120212223242526[[#This Row],[Name Surname]],[1]Manpower!C:C,[1]Manpower!D:D,)</f>
        <v>#N/A</v>
      </c>
      <c r="G225" s="13" t="str">
        <f>_xlfn.XLOOKUP([1]!Table134526_79101120212223242526[[#This Row],[Name Surname]],[1]Manpower!$C$4:$C$1048576,[1]Manpower!$F$4:$F$1048576,"")</f>
        <v>22 Seat Bus</v>
      </c>
      <c r="H225" s="13" t="str">
        <f>_xlfn.XLOOKUP([1]!Table134526_79101120212223242526[[#This Row],[Name Surname]],[1]Manpower!$C$4:$C$1048576,[1]Manpower!$H$4:$H$1048576,"")</f>
        <v>Equipment</v>
      </c>
      <c r="I225" s="11" t="str">
        <f>_xlfn.XLOOKUP([1]!Table134526_79101120212223242526[[#This Row],[Name Surname]],[1]Manpower!$C$4:$C$1048576,[1]Manpower!$H$4:$H$1048576,"")</f>
        <v>Equipment</v>
      </c>
      <c r="J225" s="13" t="s">
        <v>38</v>
      </c>
      <c r="K225" s="13" t="s">
        <v>7</v>
      </c>
      <c r="L225" s="13" t="s">
        <v>39</v>
      </c>
      <c r="M225" s="13" t="s">
        <v>5</v>
      </c>
      <c r="N225" s="14">
        <v>10</v>
      </c>
      <c r="O225" s="13" t="s">
        <v>33</v>
      </c>
      <c r="P225" s="13" t="s">
        <v>33</v>
      </c>
      <c r="Q225" s="13" t="s">
        <v>33</v>
      </c>
      <c r="R225" s="13" t="s">
        <v>7</v>
      </c>
      <c r="S225" s="15"/>
    </row>
    <row r="226" spans="1:19" x14ac:dyDescent="0.3">
      <c r="A226" s="1" t="e">
        <f>IF(C226="","",MAX($A$2:A225)+1)</f>
        <v>#REF!</v>
      </c>
      <c r="B226" s="17" t="s">
        <v>36</v>
      </c>
      <c r="C226" s="3">
        <v>46090</v>
      </c>
      <c r="D226" s="5" t="str">
        <f>_xlfn.XLOOKUP([1]!Table134526_79101120212223242526[[#This Row],[Name Surname]],[1]Manpower!$C$4:$C$1048576,[1]Manpower!$B$4:$B$1048576,"")</f>
        <v>Encogroup</v>
      </c>
      <c r="E226" s="3" t="s">
        <v>54</v>
      </c>
      <c r="F226" s="4" t="e">
        <f>_xlfn.XLOOKUP([1]!Table134526_79101120212223242526[[#This Row],[Name Surname]],[1]Manpower!C:C,[1]Manpower!D:D,)</f>
        <v>#N/A</v>
      </c>
      <c r="G226" s="5" t="str">
        <f>_xlfn.XLOOKUP([1]!Table134526_79101120212223242526[[#This Row],[Name Surname]],[1]Manpower!$C$4:$C$1048576,[1]Manpower!$F$4:$F$1048576,"")</f>
        <v>22 Seat Bus</v>
      </c>
      <c r="H226" s="5" t="str">
        <f>_xlfn.XLOOKUP([1]!Table134526_79101120212223242526[[#This Row],[Name Surname]],[1]Manpower!$C$4:$C$1048576,[1]Manpower!$H$4:$H$1048576,"")</f>
        <v>Equipment</v>
      </c>
      <c r="I226" s="3" t="str">
        <f>_xlfn.XLOOKUP([1]!Table134526_79101120212223242526[[#This Row],[Name Surname]],[1]Manpower!$C$4:$C$1048576,[1]Manpower!$H$4:$H$1048576,"")</f>
        <v>Equipment</v>
      </c>
      <c r="J226" s="5" t="s">
        <v>38</v>
      </c>
      <c r="K226" s="5" t="s">
        <v>7</v>
      </c>
      <c r="L226" s="5" t="s">
        <v>39</v>
      </c>
      <c r="M226" s="5" t="s">
        <v>5</v>
      </c>
      <c r="N226" s="6">
        <v>10</v>
      </c>
      <c r="O226" s="5" t="s">
        <v>33</v>
      </c>
      <c r="P226" s="5" t="s">
        <v>33</v>
      </c>
      <c r="Q226" s="5" t="s">
        <v>33</v>
      </c>
      <c r="R226" s="5" t="s">
        <v>7</v>
      </c>
      <c r="S226" s="8"/>
    </row>
    <row r="227" spans="1:19" x14ac:dyDescent="0.3">
      <c r="A227" s="9" t="e">
        <f>IF(C227="","",MAX($A$2:A226)+1)</f>
        <v>#REF!</v>
      </c>
      <c r="B227" s="17" t="s">
        <v>36</v>
      </c>
      <c r="C227" s="11">
        <v>46090</v>
      </c>
      <c r="D227" s="13" t="str">
        <f>_xlfn.XLOOKUP([1]!Table134526_79101120212223242526[[#This Row],[Name Surname]],[1]Manpower!$C$4:$C$1048576,[1]Manpower!$B$4:$B$1048576,"")</f>
        <v>Encogroup</v>
      </c>
      <c r="E227" s="11" t="s">
        <v>55</v>
      </c>
      <c r="F227" s="12" t="e">
        <f>_xlfn.XLOOKUP([1]!Table134526_79101120212223242526[[#This Row],[Name Surname]],[1]Manpower!C:C,[1]Manpower!D:D,)</f>
        <v>#N/A</v>
      </c>
      <c r="G227" s="13" t="str">
        <f>_xlfn.XLOOKUP([1]!Table134526_79101120212223242526[[#This Row],[Name Surname]],[1]Manpower!$C$4:$C$1048576,[1]Manpower!$F$4:$F$1048576,"")</f>
        <v>300 KVA Generator</v>
      </c>
      <c r="H227" s="13" t="str">
        <f>_xlfn.XLOOKUP([1]!Table134526_79101120212223242526[[#This Row],[Name Surname]],[1]Manpower!$C$4:$C$1048576,[1]Manpower!$H$4:$H$1048576,"")</f>
        <v>Equipment</v>
      </c>
      <c r="I227" s="11" t="str">
        <f>_xlfn.XLOOKUP([1]!Table134526_79101120212223242526[[#This Row],[Name Surname]],[1]Manpower!$C$4:$C$1048576,[1]Manpower!$H$4:$H$1048576,"")</f>
        <v>Equipment</v>
      </c>
      <c r="J227" s="13" t="s">
        <v>38</v>
      </c>
      <c r="K227" s="13" t="s">
        <v>7</v>
      </c>
      <c r="L227" s="13" t="s">
        <v>39</v>
      </c>
      <c r="M227" s="13" t="s">
        <v>5</v>
      </c>
      <c r="N227" s="14">
        <v>10</v>
      </c>
      <c r="O227" s="13" t="s">
        <v>33</v>
      </c>
      <c r="P227" s="13" t="s">
        <v>33</v>
      </c>
      <c r="Q227" s="13" t="s">
        <v>33</v>
      </c>
      <c r="R227" s="13" t="s">
        <v>7</v>
      </c>
      <c r="S227" s="15"/>
    </row>
    <row r="228" spans="1:19" x14ac:dyDescent="0.3">
      <c r="A228" s="1" t="e">
        <f>IF(C228="","",MAX($A$2:A227)+1)</f>
        <v>#REF!</v>
      </c>
      <c r="B228" s="17" t="s">
        <v>36</v>
      </c>
      <c r="C228" s="3">
        <v>46090</v>
      </c>
      <c r="D228" s="5" t="str">
        <f>_xlfn.XLOOKUP([1]!Table134526_79101120212223242526[[#This Row],[Name Surname]],[1]Manpower!$C$4:$C$1048576,[1]Manpower!$B$4:$B$1048576,"")</f>
        <v>Encogroup</v>
      </c>
      <c r="E228" s="3" t="s">
        <v>56</v>
      </c>
      <c r="F228" s="4" t="e">
        <f>_xlfn.XLOOKUP([1]!Table134526_79101120212223242526[[#This Row],[Name Surname]],[1]Manpower!C:C,[1]Manpower!D:D,)</f>
        <v>#N/A</v>
      </c>
      <c r="G228" s="5" t="str">
        <f>_xlfn.XLOOKUP([1]!Table134526_79101120212223242526[[#This Row],[Name Surname]],[1]Manpower!$C$4:$C$1048576,[1]Manpower!$F$4:$F$1048576,"")</f>
        <v>35 KVA Generator</v>
      </c>
      <c r="H228" s="5" t="str">
        <f>_xlfn.XLOOKUP([1]!Table134526_79101120212223242526[[#This Row],[Name Surname]],[1]Manpower!$C$4:$C$1048576,[1]Manpower!$H$4:$H$1048576,"")</f>
        <v>Equipment</v>
      </c>
      <c r="I228" s="3" t="str">
        <f>_xlfn.XLOOKUP([1]!Table134526_79101120212223242526[[#This Row],[Name Surname]],[1]Manpower!$C$4:$C$1048576,[1]Manpower!$H$4:$H$1048576,"")</f>
        <v>Equipment</v>
      </c>
      <c r="J228" s="5" t="s">
        <v>38</v>
      </c>
      <c r="K228" s="5" t="s">
        <v>7</v>
      </c>
      <c r="L228" s="5" t="s">
        <v>39</v>
      </c>
      <c r="M228" s="5" t="s">
        <v>5</v>
      </c>
      <c r="N228" s="6">
        <v>10</v>
      </c>
      <c r="O228" s="5" t="s">
        <v>33</v>
      </c>
      <c r="P228" s="5" t="s">
        <v>33</v>
      </c>
      <c r="Q228" s="5" t="s">
        <v>33</v>
      </c>
      <c r="R228" s="5" t="s">
        <v>7</v>
      </c>
      <c r="S228" s="8"/>
    </row>
    <row r="229" spans="1:19" x14ac:dyDescent="0.3">
      <c r="A229" s="9" t="e">
        <f>IF(C229="","",MAX($A$2:A228)+1)</f>
        <v>#REF!</v>
      </c>
      <c r="B229" s="17" t="s">
        <v>36</v>
      </c>
      <c r="C229" s="11">
        <v>46090</v>
      </c>
      <c r="D229" s="13" t="str">
        <f>_xlfn.XLOOKUP([1]!Table134526_79101120212223242526[[#This Row],[Name Surname]],[1]Manpower!$C$4:$C$1048576,[1]Manpower!$B$4:$B$1048576,"")</f>
        <v>Encogroup</v>
      </c>
      <c r="E229" s="11" t="s">
        <v>57</v>
      </c>
      <c r="F229" s="12">
        <f>_xlfn.XLOOKUP([1]!Table134526_79101120212223242526[[#This Row],[Name Surname]],[1]Manpower!C:C,[1]Manpower!D:D,)</f>
        <v>140742144</v>
      </c>
      <c r="G229" s="13" t="str">
        <f>_xlfn.XLOOKUP([1]!Table134526_79101120212223242526[[#This Row],[Name Surname]],[1]Manpower!$C$4:$C$1048576,[1]Manpower!$F$4:$F$1048576,"")</f>
        <v>Assistant/Helper</v>
      </c>
      <c r="H229" s="13" t="str">
        <f>_xlfn.XLOOKUP([1]!Table134526_79101120212223242526[[#This Row],[Name Surname]],[1]Manpower!$C$4:$C$1048576,[1]Manpower!$H$4:$H$1048576,"")</f>
        <v>Manpower</v>
      </c>
      <c r="I229" s="11" t="str">
        <f>_xlfn.XLOOKUP([1]!Table134526_79101120212223242526[[#This Row],[Name Surname]],[1]Manpower!$C$4:$C$1048576,[1]Manpower!$H$4:$H$1048576,"")</f>
        <v>Manpower</v>
      </c>
      <c r="J229" s="13" t="s">
        <v>38</v>
      </c>
      <c r="K229" s="13" t="s">
        <v>7</v>
      </c>
      <c r="L229" s="13" t="s">
        <v>39</v>
      </c>
      <c r="M229" s="13" t="s">
        <v>5</v>
      </c>
      <c r="N229" s="14">
        <v>8</v>
      </c>
      <c r="O229" s="13" t="s">
        <v>11</v>
      </c>
      <c r="P229" s="13" t="s">
        <v>13</v>
      </c>
      <c r="Q229" s="13" t="s">
        <v>13</v>
      </c>
      <c r="R229" s="13" t="s">
        <v>7</v>
      </c>
      <c r="S229" s="15"/>
    </row>
    <row r="230" spans="1:19" x14ac:dyDescent="0.3">
      <c r="A230" s="1" t="e">
        <f>IF(C230="","",MAX($A$2:A229)+1)</f>
        <v>#REF!</v>
      </c>
      <c r="B230" s="17" t="s">
        <v>36</v>
      </c>
      <c r="C230" s="3">
        <v>46090</v>
      </c>
      <c r="D230" s="5" t="str">
        <f>_xlfn.XLOOKUP([1]!Table134526_79101120212223242526[[#This Row],[Name Surname]],[1]Manpower!$C$4:$C$1048576,[1]Manpower!$B$4:$B$1048576,"")</f>
        <v>SARENS NASS</v>
      </c>
      <c r="E230" s="3" t="s">
        <v>58</v>
      </c>
      <c r="F230" s="4">
        <f>_xlfn.XLOOKUP([1]!Table134526_79101120212223242526[[#This Row],[Name Surname]],[1]Manpower!C:C,[1]Manpower!D:D,)</f>
        <v>78753612</v>
      </c>
      <c r="G230" s="5" t="str">
        <f>_xlfn.XLOOKUP([1]!Table134526_79101120212223242526[[#This Row],[Name Surname]],[1]Manpower!$C$4:$C$1048576,[1]Manpower!$F$4:$F$1048576,"")</f>
        <v>Crane Operator- 70T Liebherr Telescopic Crane-02</v>
      </c>
      <c r="H230" s="5" t="str">
        <f>_xlfn.XLOOKUP([1]!Table134526_79101120212223242526[[#This Row],[Name Surname]],[1]Manpower!$C$4:$C$1048576,[1]Manpower!$H$4:$H$1048576,"")</f>
        <v>Manpower</v>
      </c>
      <c r="I230" s="3" t="str">
        <f>_xlfn.XLOOKUP([1]!Table134526_79101120212223242526[[#This Row],[Name Surname]],[1]Manpower!$C$4:$C$1048576,[1]Manpower!$H$4:$H$1048576,"")</f>
        <v>Manpower</v>
      </c>
      <c r="J230" s="5" t="s">
        <v>38</v>
      </c>
      <c r="K230" s="5" t="s">
        <v>7</v>
      </c>
      <c r="L230" s="5" t="s">
        <v>39</v>
      </c>
      <c r="M230" s="5" t="s">
        <v>18</v>
      </c>
      <c r="N230" s="6">
        <v>10</v>
      </c>
      <c r="O230" s="5"/>
      <c r="P230" s="5"/>
      <c r="Q230" s="5"/>
      <c r="R230" s="5" t="s">
        <v>19</v>
      </c>
      <c r="S230" s="8"/>
    </row>
    <row r="231" spans="1:19" x14ac:dyDescent="0.3">
      <c r="A231" s="9" t="e">
        <f>IF(C231="","",MAX($A$2:A230)+1)</f>
        <v>#REF!</v>
      </c>
      <c r="B231" s="17" t="s">
        <v>36</v>
      </c>
      <c r="C231" s="11">
        <v>46090</v>
      </c>
      <c r="D231" s="13" t="str">
        <f>_xlfn.XLOOKUP([1]!Table134526_79101120212223242526[[#This Row],[Name Surname]],[1]Manpower!$C$4:$C$1048576,[1]Manpower!$B$4:$B$1048576,"")</f>
        <v>Al Jaber Heavy Lift</v>
      </c>
      <c r="E231" s="11" t="s">
        <v>59</v>
      </c>
      <c r="F231" s="12">
        <f>_xlfn.XLOOKUP([1]!Table134526_79101120212223242526[[#This Row],[Name Surname]],[1]Manpower!C:C,[1]Manpower!D:D,)</f>
        <v>112778626</v>
      </c>
      <c r="G231" s="13" t="str">
        <f>_xlfn.XLOOKUP([1]!Table134526_79101120212223242526[[#This Row],[Name Surname]],[1]Manpower!$C$4:$C$1048576,[1]Manpower!$F$4:$F$1048576,"")</f>
        <v>Crane Operator-150T Hitachi Crawler</v>
      </c>
      <c r="H231" s="13" t="str">
        <f>_xlfn.XLOOKUP([1]!Table134526_79101120212223242526[[#This Row],[Name Surname]],[1]Manpower!$C$4:$C$1048576,[1]Manpower!$H$4:$H$1048576,"")</f>
        <v>Manpower</v>
      </c>
      <c r="I231" s="11" t="str">
        <f>_xlfn.XLOOKUP([1]!Table134526_79101120212223242526[[#This Row],[Name Surname]],[1]Manpower!$C$4:$C$1048576,[1]Manpower!$H$4:$H$1048576,"")</f>
        <v>Manpower</v>
      </c>
      <c r="J231" s="13" t="s">
        <v>38</v>
      </c>
      <c r="K231" s="13" t="s">
        <v>7</v>
      </c>
      <c r="L231" s="13" t="s">
        <v>39</v>
      </c>
      <c r="M231" s="13" t="s">
        <v>18</v>
      </c>
      <c r="N231" s="14">
        <v>10</v>
      </c>
      <c r="O231" s="13"/>
      <c r="P231" s="13"/>
      <c r="Q231" s="13"/>
      <c r="R231" s="13" t="s">
        <v>19</v>
      </c>
      <c r="S231" s="15"/>
    </row>
    <row r="232" spans="1:19" x14ac:dyDescent="0.3">
      <c r="A232" s="1" t="e">
        <f>IF(C232="","",MAX($A$2:A231)+1)</f>
        <v>#REF!</v>
      </c>
      <c r="B232" s="2" t="s">
        <v>0</v>
      </c>
      <c r="C232" s="3">
        <v>46091</v>
      </c>
      <c r="D232" s="5" t="str">
        <f>_xlfn.XLOOKUP([1]!Table134526_79101120212223242526[[#This Row],[Name Surname]],[1]Manpower!$C$4:$C$1048576,[1]Manpower!$B$4:$B$1048576,"")</f>
        <v>Encogroup</v>
      </c>
      <c r="E232" s="5" t="s">
        <v>1</v>
      </c>
      <c r="F232" s="4" t="str">
        <f>_xlfn.XLOOKUP([1]!Table134526_79101120212223242526[[#This Row],[Name Surname]],[1]Manpower!C:C,[1]Manpower!D:D,)</f>
        <v>U4181508</v>
      </c>
      <c r="G232" s="5" t="str">
        <f>_xlfn.XLOOKUP([1]!Table134526_79101120212223242526[[#This Row],[Name Surname]],[1]Manpower!$C$4:$C$1048576,[1]Manpower!$F$4:$F$1048576,"")</f>
        <v>Welder</v>
      </c>
      <c r="H232" s="5" t="str">
        <f>_xlfn.XLOOKUP([1]!Table134526_79101120212223242526[[#This Row],[Name Surname]],[1]Manpower!$C$4:$C$1048576,[1]Manpower!$H$4:$H$1048576,"")</f>
        <v>Manpower</v>
      </c>
      <c r="I232" s="3" t="str">
        <f>_xlfn.XLOOKUP([1]!Table134526_79101120212223242526[[#This Row],[Name Surname]],[1]Manpower!$C$4:$C$1048576,[1]Manpower!$H$4:$H$1048576,"")</f>
        <v>Manpower</v>
      </c>
      <c r="J232" s="5" t="s">
        <v>2</v>
      </c>
      <c r="K232" s="5" t="s">
        <v>64</v>
      </c>
      <c r="L232" s="5" t="s">
        <v>10</v>
      </c>
      <c r="M232" s="5" t="s">
        <v>5</v>
      </c>
      <c r="N232" s="6">
        <v>3</v>
      </c>
      <c r="O232" s="5" t="s">
        <v>11</v>
      </c>
      <c r="P232" s="5" t="s">
        <v>12</v>
      </c>
      <c r="Q232" s="5" t="s">
        <v>13</v>
      </c>
      <c r="R232" s="5" t="s">
        <v>76</v>
      </c>
      <c r="S232" s="8"/>
    </row>
    <row r="233" spans="1:19" x14ac:dyDescent="0.3">
      <c r="A233" s="9" t="e">
        <f>IF(C233="","",MAX($A$2:A232)+1)</f>
        <v>#REF!</v>
      </c>
      <c r="B233" s="10" t="s">
        <v>0</v>
      </c>
      <c r="C233" s="11">
        <v>46091</v>
      </c>
      <c r="D233" s="13" t="str">
        <f>_xlfn.XLOOKUP([1]!Table134526_79101120212223242526[[#This Row],[Name Surname]],[1]Manpower!$C$4:$C$1048576,[1]Manpower!$B$4:$B$1048576,"")</f>
        <v>Encogroup</v>
      </c>
      <c r="E233" s="11" t="s">
        <v>61</v>
      </c>
      <c r="F233" s="12">
        <f>_xlfn.XLOOKUP([1]!Table134526_79101120212223242526[[#This Row],[Name Surname]],[1]Manpower!C:C,[1]Manpower!D:D,)</f>
        <v>125440631</v>
      </c>
      <c r="G233" s="13" t="str">
        <f>_xlfn.XLOOKUP([1]!Table134526_79101120212223242526[[#This Row],[Name Surname]],[1]Manpower!$C$4:$C$1048576,[1]Manpower!$F$4:$F$1048576,"")</f>
        <v>Rigger</v>
      </c>
      <c r="H233" s="13" t="str">
        <f>_xlfn.XLOOKUP([1]!Table134526_79101120212223242526[[#This Row],[Name Surname]],[1]Manpower!$C$4:$C$1048576,[1]Manpower!$H$4:$H$1048576,"")</f>
        <v>Manpower</v>
      </c>
      <c r="I233" s="11" t="str">
        <f>_xlfn.XLOOKUP([1]!Table134526_79101120212223242526[[#This Row],[Name Surname]],[1]Manpower!$C$4:$C$1048576,[1]Manpower!$H$4:$H$1048576,"")</f>
        <v>Manpower</v>
      </c>
      <c r="J233" s="13" t="s">
        <v>9</v>
      </c>
      <c r="K233" s="13" t="s">
        <v>7</v>
      </c>
      <c r="L233" s="13" t="s">
        <v>10</v>
      </c>
      <c r="M233" s="13" t="s">
        <v>5</v>
      </c>
      <c r="N233" s="14">
        <v>10</v>
      </c>
      <c r="O233" s="13" t="s">
        <v>11</v>
      </c>
      <c r="P233" s="13" t="s">
        <v>12</v>
      </c>
      <c r="Q233" s="13" t="s">
        <v>13</v>
      </c>
      <c r="R233" s="13" t="s">
        <v>7</v>
      </c>
      <c r="S233" s="15"/>
    </row>
    <row r="234" spans="1:19" x14ac:dyDescent="0.3">
      <c r="A234" s="1" t="e">
        <f>IF(C234="","",MAX($A$2:A233)+1)</f>
        <v>#REF!</v>
      </c>
      <c r="B234" s="10" t="s">
        <v>0</v>
      </c>
      <c r="C234" s="3">
        <v>46091</v>
      </c>
      <c r="D234" s="5" t="str">
        <f>_xlfn.XLOOKUP([1]!Table134526_79101120212223242526[[#This Row],[Name Surname]],[1]Manpower!$C$4:$C$1048576,[1]Manpower!$B$4:$B$1048576,"")</f>
        <v>AL Omar International TRAD AND CONT</v>
      </c>
      <c r="E234" s="5" t="s">
        <v>8</v>
      </c>
      <c r="F234" s="4">
        <f>_xlfn.XLOOKUP([1]!Table134526_79101120212223242526[[#This Row],[Name Surname]],[1]Manpower!C:C,[1]Manpower!D:D,)</f>
        <v>115731078</v>
      </c>
      <c r="G234" s="5" t="str">
        <f>_xlfn.XLOOKUP([1]!Table134526_79101120212223242526[[#This Row],[Name Surname]],[1]Manpower!$C$4:$C$1048576,[1]Manpower!$F$4:$F$1048576,"")</f>
        <v>Scaffolder</v>
      </c>
      <c r="H234" s="5" t="str">
        <f>_xlfn.XLOOKUP([1]!Table134526_79101120212223242526[[#This Row],[Name Surname]],[1]Manpower!$C$4:$C$1048576,[1]Manpower!$H$4:$H$1048576,"")</f>
        <v>Sub Contactor</v>
      </c>
      <c r="I234" s="3" t="str">
        <f>_xlfn.XLOOKUP([1]!Table134526_79101120212223242526[[#This Row],[Name Surname]],[1]Manpower!$C$4:$C$1048576,[1]Manpower!$H$4:$H$1048576,"")</f>
        <v>Sub Contactor</v>
      </c>
      <c r="J234" s="5" t="s">
        <v>9</v>
      </c>
      <c r="K234" s="5" t="s">
        <v>7</v>
      </c>
      <c r="L234" s="5" t="s">
        <v>10</v>
      </c>
      <c r="M234" s="5" t="s">
        <v>5</v>
      </c>
      <c r="N234" s="6">
        <v>10</v>
      </c>
      <c r="O234" s="5" t="s">
        <v>11</v>
      </c>
      <c r="P234" s="5" t="s">
        <v>12</v>
      </c>
      <c r="Q234" s="5" t="s">
        <v>13</v>
      </c>
      <c r="R234" s="5" t="s">
        <v>7</v>
      </c>
      <c r="S234" s="8"/>
    </row>
    <row r="235" spans="1:19" x14ac:dyDescent="0.3">
      <c r="A235" s="9" t="e">
        <f>IF(C235="","",MAX($A$2:A234)+1)</f>
        <v>#REF!</v>
      </c>
      <c r="B235" s="10" t="s">
        <v>0</v>
      </c>
      <c r="C235" s="11">
        <v>46091</v>
      </c>
      <c r="D235" s="13" t="str">
        <f>_xlfn.XLOOKUP([1]!Table134526_79101120212223242526[[#This Row],[Name Surname]],[1]Manpower!$C$4:$C$1048576,[1]Manpower!$B$4:$B$1048576,"")</f>
        <v>Encogroup</v>
      </c>
      <c r="E235" s="13" t="s">
        <v>15</v>
      </c>
      <c r="F235" s="12">
        <f>_xlfn.XLOOKUP([1]!Table134526_79101120212223242526[[#This Row],[Name Surname]],[1]Manpower!C:C,[1]Manpower!D:D,)</f>
        <v>140764355</v>
      </c>
      <c r="G235" s="13" t="str">
        <f>_xlfn.XLOOKUP([1]!Table134526_79101120212223242526[[#This Row],[Name Surname]],[1]Manpower!$C$4:$C$1048576,[1]Manpower!$F$4:$F$1048576,"")</f>
        <v>Fitter/Erector</v>
      </c>
      <c r="H235" s="13" t="str">
        <f>_xlfn.XLOOKUP([1]!Table134526_79101120212223242526[[#This Row],[Name Surname]],[1]Manpower!$C$4:$C$1048576,[1]Manpower!$H$4:$H$1048576,"")</f>
        <v>Manpower</v>
      </c>
      <c r="I235" s="11" t="str">
        <f>_xlfn.XLOOKUP([1]!Table134526_79101120212223242526[[#This Row],[Name Surname]],[1]Manpower!$C$4:$C$1048576,[1]Manpower!$H$4:$H$1048576,"")</f>
        <v>Manpower</v>
      </c>
      <c r="J235" s="13" t="s">
        <v>9</v>
      </c>
      <c r="K235" s="13" t="s">
        <v>7</v>
      </c>
      <c r="L235" s="13" t="s">
        <v>10</v>
      </c>
      <c r="M235" s="13" t="s">
        <v>5</v>
      </c>
      <c r="N235" s="14">
        <v>10</v>
      </c>
      <c r="O235" s="13" t="s">
        <v>6</v>
      </c>
      <c r="P235" s="13" t="s">
        <v>12</v>
      </c>
      <c r="Q235" s="13" t="s">
        <v>29</v>
      </c>
      <c r="R235" s="13" t="s">
        <v>7</v>
      </c>
      <c r="S235" s="15"/>
    </row>
    <row r="236" spans="1:19" x14ac:dyDescent="0.3">
      <c r="A236" s="1" t="e">
        <f>IF(C236="","",MAX($A$2:A235)+1)</f>
        <v>#REF!</v>
      </c>
      <c r="B236" s="10" t="s">
        <v>0</v>
      </c>
      <c r="C236" s="3">
        <v>46091</v>
      </c>
      <c r="D236" s="5" t="str">
        <f>_xlfn.XLOOKUP([1]!Table134526_79101120212223242526[[#This Row],[Name Surname]],[1]Manpower!$C$4:$C$1048576,[1]Manpower!$B$4:$B$1048576,"")</f>
        <v>Encogroup</v>
      </c>
      <c r="E236" s="5" t="s">
        <v>17</v>
      </c>
      <c r="F236" s="4" t="str">
        <f>_xlfn.XLOOKUP([1]!Table134526_79101120212223242526[[#This Row],[Name Surname]],[1]Manpower!C:C,[1]Manpower!D:D,)</f>
        <v>S3549132</v>
      </c>
      <c r="G236" s="5" t="str">
        <f>_xlfn.XLOOKUP([1]!Table134526_79101120212223242526[[#This Row],[Name Surname]],[1]Manpower!$C$4:$C$1048576,[1]Manpower!$F$4:$F$1048576,"")</f>
        <v>Grinder</v>
      </c>
      <c r="H236" s="5" t="str">
        <f>_xlfn.XLOOKUP([1]!Table134526_79101120212223242526[[#This Row],[Name Surname]],[1]Manpower!$C$4:$C$1048576,[1]Manpower!$H$4:$H$1048576,"")</f>
        <v>Manpower</v>
      </c>
      <c r="I236" s="3" t="str">
        <f>_xlfn.XLOOKUP([1]!Table134526_79101120212223242526[[#This Row],[Name Surname]],[1]Manpower!$C$4:$C$1048576,[1]Manpower!$H$4:$H$1048576,"")</f>
        <v>Manpower</v>
      </c>
      <c r="J236" s="5" t="s">
        <v>9</v>
      </c>
      <c r="K236" s="5" t="s">
        <v>7</v>
      </c>
      <c r="L236" s="5" t="s">
        <v>10</v>
      </c>
      <c r="M236" s="5" t="s">
        <v>5</v>
      </c>
      <c r="N236" s="6">
        <v>10</v>
      </c>
      <c r="O236" s="5" t="s">
        <v>6</v>
      </c>
      <c r="P236" s="5" t="s">
        <v>12</v>
      </c>
      <c r="Q236" s="5" t="s">
        <v>29</v>
      </c>
      <c r="R236" s="5" t="s">
        <v>7</v>
      </c>
      <c r="S236" s="8"/>
    </row>
    <row r="237" spans="1:19" x14ac:dyDescent="0.3">
      <c r="A237" s="9" t="e">
        <f>IF(C237="","",MAX($A$2:A236)+1)</f>
        <v>#REF!</v>
      </c>
      <c r="B237" s="10" t="s">
        <v>0</v>
      </c>
      <c r="C237" s="11">
        <v>46091</v>
      </c>
      <c r="D237" s="11" t="str">
        <f>_xlfn.XLOOKUP([1]!Table134526_79101120212223242526[[#This Row],[Name Surname]],[1]Manpower!$C$4:$C$1048576,[1]Manpower!$B$4:$B$1048576,"")</f>
        <v>Encogroup</v>
      </c>
      <c r="E237" s="11" t="s">
        <v>20</v>
      </c>
      <c r="F237" s="12">
        <f>_xlfn.XLOOKUP([1]!Table134526_79101120212223242526[[#This Row],[Name Surname]],[1]Manpower!C:C,[1]Manpower!D:D,)</f>
        <v>140742125</v>
      </c>
      <c r="G237" s="11" t="str">
        <f>_xlfn.XLOOKUP([1]!Table134526_79101120212223242526[[#This Row],[Name Surname]],[1]Manpower!$C$4:$C$1048576,[1]Manpower!$F$4:$F$1048576,"")</f>
        <v>Assistant/Helper</v>
      </c>
      <c r="H237" s="11" t="str">
        <f>_xlfn.XLOOKUP([1]!Table134526_79101120212223242526[[#This Row],[Name Surname]],[1]Manpower!$C$4:$C$1048576,[1]Manpower!$H$4:$H$1048576,"")</f>
        <v>Manpower</v>
      </c>
      <c r="I237" s="11" t="str">
        <f>_xlfn.XLOOKUP([1]!Table134526_79101120212223242526[[#This Row],[Name Surname]],[1]Manpower!$C$4:$C$1048576,[1]Manpower!$H$4:$H$1048576,"")</f>
        <v>Manpower</v>
      </c>
      <c r="J237" s="13" t="s">
        <v>9</v>
      </c>
      <c r="K237" s="13" t="s">
        <v>7</v>
      </c>
      <c r="L237" s="13" t="s">
        <v>10</v>
      </c>
      <c r="M237" s="13" t="s">
        <v>5</v>
      </c>
      <c r="N237" s="14">
        <v>10</v>
      </c>
      <c r="O237" s="13" t="s">
        <v>6</v>
      </c>
      <c r="P237" s="13" t="s">
        <v>12</v>
      </c>
      <c r="Q237" s="13" t="s">
        <v>12</v>
      </c>
      <c r="R237" s="13" t="s">
        <v>7</v>
      </c>
      <c r="S237" s="15"/>
    </row>
    <row r="238" spans="1:19" x14ac:dyDescent="0.3">
      <c r="A238" s="1" t="e">
        <f>IF(C238="","",MAX($A$2:A237)+1)</f>
        <v>#REF!</v>
      </c>
      <c r="B238" s="16" t="s">
        <v>21</v>
      </c>
      <c r="C238" s="3">
        <v>46091</v>
      </c>
      <c r="D238" s="5" t="str">
        <f>_xlfn.XLOOKUP([1]!Table134526_79101120212223242526[[#This Row],[Name Surname]],[1]Manpower!$C$4:$C$1048576,[1]Manpower!$B$4:$B$1048576,"")</f>
        <v>Encogroup</v>
      </c>
      <c r="E238" s="5" t="s">
        <v>22</v>
      </c>
      <c r="F238" s="4">
        <f>_xlfn.XLOOKUP([1]!Table134526_79101120212223242526[[#This Row],[Name Surname]],[1]Manpower!C:C,[1]Manpower!D:D,)</f>
        <v>125199963</v>
      </c>
      <c r="G238" s="5" t="str">
        <f>_xlfn.XLOOKUP([1]!Table134526_79101120212223242526[[#This Row],[Name Surname]],[1]Manpower!$C$4:$C$1048576,[1]Manpower!$F$4:$F$1048576,"")</f>
        <v>Electrician</v>
      </c>
      <c r="H238" s="5" t="str">
        <f>_xlfn.XLOOKUP([1]!Table134526_79101120212223242526[[#This Row],[Name Surname]],[1]Manpower!$C$4:$C$1048576,[1]Manpower!$H$4:$H$1048576,"")</f>
        <v>Manpower</v>
      </c>
      <c r="I238" s="3" t="str">
        <f>_xlfn.XLOOKUP([1]!Table134526_79101120212223242526[[#This Row],[Name Surname]],[1]Manpower!$C$4:$C$1048576,[1]Manpower!$H$4:$H$1048576,"")</f>
        <v>Manpower</v>
      </c>
      <c r="J238" s="5" t="s">
        <v>23</v>
      </c>
      <c r="K238" s="5" t="s">
        <v>69</v>
      </c>
      <c r="L238" s="5" t="s">
        <v>25</v>
      </c>
      <c r="M238" s="5" t="s">
        <v>5</v>
      </c>
      <c r="N238" s="6">
        <v>10</v>
      </c>
      <c r="O238" s="5" t="s">
        <v>6</v>
      </c>
      <c r="P238" s="5" t="s">
        <v>12</v>
      </c>
      <c r="Q238" s="5" t="s">
        <v>26</v>
      </c>
      <c r="R238" s="5" t="s">
        <v>77</v>
      </c>
      <c r="S238" s="8"/>
    </row>
    <row r="239" spans="1:19" x14ac:dyDescent="0.3">
      <c r="A239" s="9" t="e">
        <f>IF(C239="","",MAX($A$2:A238)+1)</f>
        <v>#REF!</v>
      </c>
      <c r="B239" s="16" t="s">
        <v>21</v>
      </c>
      <c r="C239" s="11">
        <v>46091</v>
      </c>
      <c r="D239" s="13" t="str">
        <f>_xlfn.XLOOKUP([1]!Table134526_79101120212223242526[[#This Row],[Name Surname]],[1]Manpower!$C$4:$C$1048576,[1]Manpower!$B$4:$B$1048576,"")</f>
        <v>Encogroup</v>
      </c>
      <c r="E239" s="13" t="s">
        <v>28</v>
      </c>
      <c r="F239" s="12">
        <f>_xlfn.XLOOKUP([1]!Table134526_79101120212223242526[[#This Row],[Name Surname]],[1]Manpower!C:C,[1]Manpower!D:D,)</f>
        <v>124398279</v>
      </c>
      <c r="G239" s="13" t="str">
        <f>_xlfn.XLOOKUP([1]!Table134526_79101120212223242526[[#This Row],[Name Surname]],[1]Manpower!$C$4:$C$1048576,[1]Manpower!$F$4:$F$1048576,"")</f>
        <v>Permit Receiver</v>
      </c>
      <c r="H239" s="13" t="str">
        <f>_xlfn.XLOOKUP([1]!Table134526_79101120212223242526[[#This Row],[Name Surname]],[1]Manpower!$C$4:$C$1048576,[1]Manpower!$H$4:$H$1048576,"")</f>
        <v>Manpower</v>
      </c>
      <c r="I239" s="11" t="str">
        <f>_xlfn.XLOOKUP([1]!Table134526_79101120212223242526[[#This Row],[Name Surname]],[1]Manpower!$C$4:$C$1048576,[1]Manpower!$H$4:$H$1048576,"")</f>
        <v>Manpower</v>
      </c>
      <c r="J239" s="13" t="s">
        <v>23</v>
      </c>
      <c r="K239" s="13" t="s">
        <v>71</v>
      </c>
      <c r="L239" s="13" t="s">
        <v>25</v>
      </c>
      <c r="M239" s="13" t="s">
        <v>5</v>
      </c>
      <c r="N239" s="14">
        <v>10</v>
      </c>
      <c r="O239" s="13" t="s">
        <v>6</v>
      </c>
      <c r="P239" s="13" t="s">
        <v>12</v>
      </c>
      <c r="Q239" s="13" t="s">
        <v>26</v>
      </c>
      <c r="R239" s="13" t="s">
        <v>30</v>
      </c>
      <c r="S239" s="15"/>
    </row>
    <row r="240" spans="1:19" x14ac:dyDescent="0.3">
      <c r="A240" s="1" t="e">
        <f>IF(C240="","",MAX($A$2:A239)+1)</f>
        <v>#REF!</v>
      </c>
      <c r="B240" s="16" t="s">
        <v>21</v>
      </c>
      <c r="C240" s="3">
        <v>46091</v>
      </c>
      <c r="D240" s="5" t="str">
        <f>_xlfn.XLOOKUP([1]!Table134526_79101120212223242526[[#This Row],[Name Surname]],[1]Manpower!$C$4:$C$1048576,[1]Manpower!$B$4:$B$1048576,"")</f>
        <v>Encogroup</v>
      </c>
      <c r="E240" s="5" t="s">
        <v>31</v>
      </c>
      <c r="F240" s="4">
        <f>_xlfn.XLOOKUP([1]!Table134526_79101120212223242526[[#This Row],[Name Surname]],[1]Manpower!C:C,[1]Manpower!D:D,)</f>
        <v>140809004</v>
      </c>
      <c r="G240" s="5" t="str">
        <f>_xlfn.XLOOKUP([1]!Table134526_79101120212223242526[[#This Row],[Name Surname]],[1]Manpower!$C$4:$C$1048576,[1]Manpower!$F$4:$F$1048576,"")</f>
        <v>Fitter/Erector</v>
      </c>
      <c r="H240" s="5" t="str">
        <f>_xlfn.XLOOKUP([1]!Table134526_79101120212223242526[[#This Row],[Name Surname]],[1]Manpower!$C$4:$C$1048576,[1]Manpower!$H$4:$H$1048576,"")</f>
        <v>Manpower</v>
      </c>
      <c r="I240" s="3" t="str">
        <f>_xlfn.XLOOKUP([1]!Table134526_79101120212223242526[[#This Row],[Name Surname]],[1]Manpower!$C$4:$C$1048576,[1]Manpower!$H$4:$H$1048576,"")</f>
        <v>Manpower</v>
      </c>
      <c r="J240" s="5" t="s">
        <v>23</v>
      </c>
      <c r="K240" s="5" t="s">
        <v>72</v>
      </c>
      <c r="L240" s="5" t="s">
        <v>25</v>
      </c>
      <c r="M240" s="5" t="s">
        <v>5</v>
      </c>
      <c r="N240" s="6">
        <v>10</v>
      </c>
      <c r="O240" s="5" t="s">
        <v>11</v>
      </c>
      <c r="P240" s="5" t="s">
        <v>12</v>
      </c>
      <c r="Q240" s="5" t="s">
        <v>13</v>
      </c>
      <c r="R240" s="5" t="s">
        <v>78</v>
      </c>
      <c r="S240" s="8"/>
    </row>
    <row r="241" spans="1:19" x14ac:dyDescent="0.3">
      <c r="A241" s="9" t="e">
        <f>IF(C241="","",MAX($A$2:A240)+1)</f>
        <v>#REF!</v>
      </c>
      <c r="B241" s="16" t="s">
        <v>21</v>
      </c>
      <c r="C241" s="11">
        <v>46091</v>
      </c>
      <c r="D241" s="13" t="str">
        <f>_xlfn.XLOOKUP([1]!Table134526_79101120212223242526[[#This Row],[Name Surname]],[1]Manpower!$C$4:$C$1048576,[1]Manpower!$B$4:$B$1048576,"")</f>
        <v>Encogroup</v>
      </c>
      <c r="E241" s="11" t="s">
        <v>32</v>
      </c>
      <c r="F241" s="12">
        <f>_xlfn.XLOOKUP([1]!Table134526_79101120212223242526[[#This Row],[Name Surname]],[1]Manpower!C:C,[1]Manpower!D:D,)</f>
        <v>140683436</v>
      </c>
      <c r="G241" s="13" t="str">
        <f>_xlfn.XLOOKUP([1]!Table134526_79101120212223242526[[#This Row],[Name Surname]],[1]Manpower!$C$4:$C$1048576,[1]Manpower!$F$4:$F$1048576,"")</f>
        <v>Scaffolder</v>
      </c>
      <c r="H241" s="13" t="str">
        <f>_xlfn.XLOOKUP([1]!Table134526_79101120212223242526[[#This Row],[Name Surname]],[1]Manpower!$C$4:$C$1048576,[1]Manpower!$H$4:$H$1048576,"")</f>
        <v>Manpower</v>
      </c>
      <c r="I241" s="11" t="str">
        <f>_xlfn.XLOOKUP([1]!Table134526_79101120212223242526[[#This Row],[Name Surname]],[1]Manpower!$C$4:$C$1048576,[1]Manpower!$H$4:$H$1048576,"")</f>
        <v>Manpower</v>
      </c>
      <c r="J241" s="13" t="s">
        <v>23</v>
      </c>
      <c r="K241" s="13" t="s">
        <v>74</v>
      </c>
      <c r="L241" s="13" t="s">
        <v>25</v>
      </c>
      <c r="M241" s="13" t="s">
        <v>5</v>
      </c>
      <c r="N241" s="14">
        <v>10</v>
      </c>
      <c r="O241" s="13" t="s">
        <v>33</v>
      </c>
      <c r="P241" s="13" t="s">
        <v>33</v>
      </c>
      <c r="Q241" s="13" t="s">
        <v>33</v>
      </c>
      <c r="R241" s="13" t="s">
        <v>7</v>
      </c>
      <c r="S241" s="15"/>
    </row>
    <row r="242" spans="1:19" x14ac:dyDescent="0.3">
      <c r="A242" s="1" t="e">
        <f>IF(C242="","",MAX($A$2:A240)+1)</f>
        <v>#REF!</v>
      </c>
      <c r="B242" s="16" t="s">
        <v>21</v>
      </c>
      <c r="C242" s="3">
        <v>46091</v>
      </c>
      <c r="D242" s="5" t="str">
        <f>_xlfn.XLOOKUP([1]!Table134526_79101120212223242526[[#This Row],[Name Surname]],[1]Manpower!$C$4:$C$1048576,[1]Manpower!$B$4:$B$1048576,"")</f>
        <v>Encogroup</v>
      </c>
      <c r="E242" s="3" t="s">
        <v>34</v>
      </c>
      <c r="F242" s="4" t="e">
        <f>_xlfn.XLOOKUP([1]!Table134526_79101120212223242526[[#This Row],[Name Surname]],[1]Manpower!C:C,[1]Manpower!D:D,)</f>
        <v>#N/A</v>
      </c>
      <c r="G242" s="5" t="str">
        <f>_xlfn.XLOOKUP([1]!Table134526_79101120212223242526[[#This Row],[Name Surname]],[1]Manpower!$C$4:$C$1048576,[1]Manpower!$F$4:$F$1048576,"")</f>
        <v>7T-HIAB</v>
      </c>
      <c r="H242" s="5" t="str">
        <f>_xlfn.XLOOKUP([1]!Table134526_79101120212223242526[[#This Row],[Name Surname]],[1]Manpower!$C$4:$C$1048576,[1]Manpower!$H$4:$H$1048576,"")</f>
        <v>Equipment</v>
      </c>
      <c r="I242" s="3" t="str">
        <f>_xlfn.XLOOKUP([1]!Table134526_79101120212223242526[[#This Row],[Name Surname]],[1]Manpower!$C$4:$C$1048576,[1]Manpower!$H$4:$H$1048576,"")</f>
        <v>Equipment</v>
      </c>
      <c r="J242" s="5" t="s">
        <v>23</v>
      </c>
      <c r="K242" s="5" t="s">
        <v>74</v>
      </c>
      <c r="L242" s="5" t="s">
        <v>25</v>
      </c>
      <c r="M242" s="5" t="s">
        <v>5</v>
      </c>
      <c r="N242" s="6">
        <v>10</v>
      </c>
      <c r="O242" s="5" t="s">
        <v>35</v>
      </c>
      <c r="P242" s="5" t="s">
        <v>35</v>
      </c>
      <c r="Q242" s="5" t="s">
        <v>35</v>
      </c>
      <c r="R242" s="5" t="s">
        <v>7</v>
      </c>
      <c r="S242" s="8"/>
    </row>
    <row r="243" spans="1:19" x14ac:dyDescent="0.3">
      <c r="A243" s="9" t="e">
        <f>IF(C243="","",MAX($A$2:A242)+1)</f>
        <v>#REF!</v>
      </c>
      <c r="B243" s="17" t="s">
        <v>36</v>
      </c>
      <c r="C243" s="11">
        <v>46091</v>
      </c>
      <c r="D243" s="13" t="str">
        <f>_xlfn.XLOOKUP([1]!Table134526_79101120212223242526[[#This Row],[Name Surname]],[1]Manpower!$C$4:$C$1048576,[1]Manpower!$B$4:$B$1048576,"")</f>
        <v>Encogroup</v>
      </c>
      <c r="E243" s="13" t="s">
        <v>37</v>
      </c>
      <c r="F243" s="12">
        <f>_xlfn.XLOOKUP([1]!Table134526_79101120212223242526[[#This Row],[Name Surname]],[1]Manpower!C:C,[1]Manpower!D:D,)</f>
        <v>9138415</v>
      </c>
      <c r="G243" s="13" t="str">
        <f>_xlfn.XLOOKUP([1]!Table134526_79101120212223242526[[#This Row],[Name Surname]],[1]Manpower!$C$4:$C$1048576,[1]Manpower!$F$4:$F$1048576,"")</f>
        <v>HIAB Driver</v>
      </c>
      <c r="H243" s="13" t="str">
        <f>_xlfn.XLOOKUP([1]!Table134526_79101120212223242526[[#This Row],[Name Surname]],[1]Manpower!$C$4:$C$1048576,[1]Manpower!$H$4:$H$1048576,"")</f>
        <v>Manpower</v>
      </c>
      <c r="I243" s="11" t="str">
        <f>_xlfn.XLOOKUP([1]!Table134526_79101120212223242526[[#This Row],[Name Surname]],[1]Manpower!$C$4:$C$1048576,[1]Manpower!$H$4:$H$1048576,"")</f>
        <v>Manpower</v>
      </c>
      <c r="J243" s="13" t="s">
        <v>38</v>
      </c>
      <c r="K243" s="13" t="s">
        <v>7</v>
      </c>
      <c r="L243" s="13" t="s">
        <v>39</v>
      </c>
      <c r="M243" s="13" t="s">
        <v>5</v>
      </c>
      <c r="N243" s="14">
        <v>10</v>
      </c>
      <c r="O243" s="13" t="s">
        <v>33</v>
      </c>
      <c r="P243" s="13" t="s">
        <v>33</v>
      </c>
      <c r="Q243" s="13" t="s">
        <v>33</v>
      </c>
      <c r="R243" s="13" t="s">
        <v>7</v>
      </c>
      <c r="S243" s="15"/>
    </row>
    <row r="244" spans="1:19" x14ac:dyDescent="0.3">
      <c r="A244" s="1" t="e">
        <f>IF(C244="","",MAX($A$2:A243)+1)</f>
        <v>#REF!</v>
      </c>
      <c r="B244" s="17" t="s">
        <v>36</v>
      </c>
      <c r="C244" s="3">
        <v>46091</v>
      </c>
      <c r="D244" s="5" t="str">
        <f>_xlfn.XLOOKUP([1]!Table134526_79101120212223242526[[#This Row],[Name Surname]],[1]Manpower!$C$4:$C$1048576,[1]Manpower!$B$4:$B$1048576,"")</f>
        <v>GAF</v>
      </c>
      <c r="E244" s="5" t="s">
        <v>40</v>
      </c>
      <c r="F244" s="4">
        <f>_xlfn.XLOOKUP([1]!Table134526_79101120212223242526[[#This Row],[Name Surname]],[1]Manpower!C:C,[1]Manpower!D:D,)</f>
        <v>78785394</v>
      </c>
      <c r="G244" s="5" t="str">
        <f>_xlfn.XLOOKUP([1]!Table134526_79101120212223242526[[#This Row],[Name Surname]],[1]Manpower!$C$4:$C$1048576,[1]Manpower!$F$4:$F$1048576,"")</f>
        <v>Helper</v>
      </c>
      <c r="H244" s="5" t="str">
        <f>_xlfn.XLOOKUP([1]!Table134526_79101120212223242526[[#This Row],[Name Surname]],[1]Manpower!$C$4:$C$1048576,[1]Manpower!$H$4:$H$1048576,"")</f>
        <v>Sub Contactor</v>
      </c>
      <c r="I244" s="3" t="str">
        <f>_xlfn.XLOOKUP([1]!Table134526_79101120212223242526[[#This Row],[Name Surname]],[1]Manpower!$C$4:$C$1048576,[1]Manpower!$H$4:$H$1048576,"")</f>
        <v>Sub Contactor</v>
      </c>
      <c r="J244" s="5" t="s">
        <v>38</v>
      </c>
      <c r="K244" s="5" t="s">
        <v>7</v>
      </c>
      <c r="L244" s="5" t="s">
        <v>39</v>
      </c>
      <c r="M244" s="5" t="s">
        <v>5</v>
      </c>
      <c r="N244" s="6">
        <v>10</v>
      </c>
      <c r="O244" s="5" t="s">
        <v>33</v>
      </c>
      <c r="P244" s="5" t="s">
        <v>33</v>
      </c>
      <c r="Q244" s="5" t="s">
        <v>33</v>
      </c>
      <c r="R244" s="5" t="s">
        <v>7</v>
      </c>
      <c r="S244" s="8"/>
    </row>
    <row r="245" spans="1:19" x14ac:dyDescent="0.3">
      <c r="A245" s="9" t="e">
        <f>IF(C245="","",MAX($A$2:A243)+1)</f>
        <v>#REF!</v>
      </c>
      <c r="B245" s="17" t="s">
        <v>36</v>
      </c>
      <c r="C245" s="11">
        <v>46091</v>
      </c>
      <c r="D245" s="13" t="str">
        <f>_xlfn.XLOOKUP([1]!Table134526_79101120212223242526[[#This Row],[Name Surname]],[1]Manpower!$C$4:$C$1048576,[1]Manpower!$B$4:$B$1048576,"")</f>
        <v>Encogroup</v>
      </c>
      <c r="E245" s="13" t="s">
        <v>41</v>
      </c>
      <c r="F245" s="12">
        <f>_xlfn.XLOOKUP([1]!Table134526_79101120212223242526[[#This Row],[Name Surname]],[1]Manpower!C:C,[1]Manpower!D:D,)</f>
        <v>141359024</v>
      </c>
      <c r="G245" s="13" t="str">
        <f>_xlfn.XLOOKUP([1]!Table134526_79101120212223242526[[#This Row],[Name Surname]],[1]Manpower!$C$4:$C$1048576,[1]Manpower!$F$4:$F$1048576,"")</f>
        <v>Hydraulic Mechanic</v>
      </c>
      <c r="H245" s="13" t="str">
        <f>_xlfn.XLOOKUP([1]!Table134526_79101120212223242526[[#This Row],[Name Surname]],[1]Manpower!$C$4:$C$1048576,[1]Manpower!$H$4:$H$1048576,"")</f>
        <v>Manpower</v>
      </c>
      <c r="I245" s="11" t="str">
        <f>_xlfn.XLOOKUP([1]!Table134526_79101120212223242526[[#This Row],[Name Surname]],[1]Manpower!$C$4:$C$1048576,[1]Manpower!$H$4:$H$1048576,"")</f>
        <v>Manpower</v>
      </c>
      <c r="J245" s="13" t="s">
        <v>38</v>
      </c>
      <c r="K245" s="13" t="s">
        <v>7</v>
      </c>
      <c r="L245" s="13" t="s">
        <v>39</v>
      </c>
      <c r="M245" s="13" t="s">
        <v>18</v>
      </c>
      <c r="N245" s="14">
        <v>10</v>
      </c>
      <c r="O245" s="13"/>
      <c r="P245" s="13"/>
      <c r="Q245" s="13"/>
      <c r="R245" s="13" t="s">
        <v>75</v>
      </c>
      <c r="S245" s="15"/>
    </row>
    <row r="246" spans="1:19" x14ac:dyDescent="0.3">
      <c r="A246" s="1" t="e">
        <f>IF(C246="","",MAX($A$2:A245)+1)</f>
        <v>#REF!</v>
      </c>
      <c r="B246" s="17" t="s">
        <v>36</v>
      </c>
      <c r="C246" s="3">
        <v>46091</v>
      </c>
      <c r="D246" s="5" t="str">
        <f>_xlfn.XLOOKUP([1]!Table134526_79101120212223242526[[#This Row],[Name Surname]],[1]Manpower!$C$4:$C$1048576,[1]Manpower!$B$4:$B$1048576,"")</f>
        <v>Encogroup</v>
      </c>
      <c r="E246" s="5" t="s">
        <v>1</v>
      </c>
      <c r="F246" s="4">
        <f>_xlfn.XLOOKUP([1]!Table134526_79101120212223242526[[#This Row],[Name Surname]],[1]Manpower!C:C,[1]Manpower!D:D,)</f>
        <v>140844759</v>
      </c>
      <c r="G246" s="5" t="str">
        <f>_xlfn.XLOOKUP([1]!Table134526_79101120212223242526[[#This Row],[Name Surname]],[1]Manpower!$C$4:$C$1048576,[1]Manpower!$F$4:$F$1048576,"")</f>
        <v>Welder</v>
      </c>
      <c r="H246" s="5" t="str">
        <f>_xlfn.XLOOKUP([1]!Table134526_79101120212223242526[[#This Row],[Name Surname]],[1]Manpower!$C$4:$C$1048576,[1]Manpower!$H$4:$H$1048576,"")</f>
        <v>Manpower</v>
      </c>
      <c r="I246" s="3" t="str">
        <f>_xlfn.XLOOKUP([1]!Table134526_79101120212223242526[[#This Row],[Name Surname]],[1]Manpower!$C$4:$C$1048576,[1]Manpower!$H$4:$H$1048576,"")</f>
        <v>Manpower</v>
      </c>
      <c r="J246" s="5" t="s">
        <v>38</v>
      </c>
      <c r="K246" s="5" t="s">
        <v>7</v>
      </c>
      <c r="L246" s="5" t="s">
        <v>39</v>
      </c>
      <c r="M246" s="5" t="s">
        <v>5</v>
      </c>
      <c r="N246" s="6">
        <v>5</v>
      </c>
      <c r="O246" s="5" t="s">
        <v>11</v>
      </c>
      <c r="P246" s="5" t="s">
        <v>13</v>
      </c>
      <c r="Q246" s="5" t="s">
        <v>13</v>
      </c>
      <c r="R246" s="5" t="s">
        <v>79</v>
      </c>
      <c r="S246" s="8"/>
    </row>
    <row r="247" spans="1:19" x14ac:dyDescent="0.3">
      <c r="A247" s="9" t="e">
        <f>IF(C247="","",MAX($A$2:A245)+1)</f>
        <v>#REF!</v>
      </c>
      <c r="B247" s="17" t="s">
        <v>36</v>
      </c>
      <c r="C247" s="11">
        <v>46091</v>
      </c>
      <c r="D247" s="13" t="str">
        <f>_xlfn.XLOOKUP([1]!Table134526_79101120212223242526[[#This Row],[Name Surname]],[1]Manpower!$C$4:$C$1048576,[1]Manpower!$B$4:$B$1048576,"")</f>
        <v>Encogroup</v>
      </c>
      <c r="E247" s="13" t="s">
        <v>43</v>
      </c>
      <c r="F247" s="12">
        <f>_xlfn.XLOOKUP([1]!Table134526_79101120212223242526[[#This Row],[Name Surname]],[1]Manpower!C:C,[1]Manpower!D:D,)</f>
        <v>140848828</v>
      </c>
      <c r="G247" s="13" t="str">
        <f>_xlfn.XLOOKUP([1]!Table134526_79101120212223242526[[#This Row],[Name Surname]],[1]Manpower!$C$4:$C$1048576,[1]Manpower!$F$4:$F$1048576,"")</f>
        <v>Pipe Fitter</v>
      </c>
      <c r="H247" s="13" t="str">
        <f>_xlfn.XLOOKUP([1]!Table134526_79101120212223242526[[#This Row],[Name Surname]],[1]Manpower!$C$4:$C$1048576,[1]Manpower!$H$4:$H$1048576,"")</f>
        <v>Manpower</v>
      </c>
      <c r="I247" s="11" t="str">
        <f>_xlfn.XLOOKUP([1]!Table134526_79101120212223242526[[#This Row],[Name Surname]],[1]Manpower!$C$4:$C$1048576,[1]Manpower!$H$4:$H$1048576,"")</f>
        <v>Manpower</v>
      </c>
      <c r="J247" s="13" t="s">
        <v>38</v>
      </c>
      <c r="K247" s="13" t="s">
        <v>7</v>
      </c>
      <c r="L247" s="13" t="s">
        <v>39</v>
      </c>
      <c r="M247" s="13" t="s">
        <v>5</v>
      </c>
      <c r="N247" s="14">
        <v>10</v>
      </c>
      <c r="O247" s="13" t="s">
        <v>11</v>
      </c>
      <c r="P247" s="13" t="s">
        <v>13</v>
      </c>
      <c r="Q247" s="13" t="s">
        <v>13</v>
      </c>
      <c r="R247" s="13" t="s">
        <v>79</v>
      </c>
      <c r="S247" s="15"/>
    </row>
    <row r="248" spans="1:19" x14ac:dyDescent="0.3">
      <c r="A248" s="1" t="e">
        <f>IF(C248="","",MAX($A$2:A247)+1)</f>
        <v>#REF!</v>
      </c>
      <c r="B248" s="17" t="s">
        <v>36</v>
      </c>
      <c r="C248" s="3">
        <v>46091</v>
      </c>
      <c r="D248" s="5" t="str">
        <f>_xlfn.XLOOKUP([1]!Table134526_79101120212223242526[[#This Row],[Name Surname]],[1]Manpower!$C$4:$C$1048576,[1]Manpower!$B$4:$B$1048576,"")</f>
        <v>Encogroup</v>
      </c>
      <c r="E248" s="5" t="s">
        <v>45</v>
      </c>
      <c r="F248" s="4">
        <f>_xlfn.XLOOKUP([1]!Table134526_79101120212223242526[[#This Row],[Name Surname]],[1]Manpower!C:C,[1]Manpower!D:D,)</f>
        <v>140696961</v>
      </c>
      <c r="G248" s="5" t="str">
        <f>_xlfn.XLOOKUP([1]!Table134526_79101120212223242526[[#This Row],[Name Surname]],[1]Manpower!$C$4:$C$1048576,[1]Manpower!$F$4:$F$1048576,"")</f>
        <v>Assistant/Helper</v>
      </c>
      <c r="H248" s="5" t="str">
        <f>_xlfn.XLOOKUP([1]!Table134526_79101120212223242526[[#This Row],[Name Surname]],[1]Manpower!$C$4:$C$1048576,[1]Manpower!$H$4:$H$1048576,"")</f>
        <v>Manpower</v>
      </c>
      <c r="I248" s="3" t="str">
        <f>_xlfn.XLOOKUP([1]!Table134526_79101120212223242526[[#This Row],[Name Surname]],[1]Manpower!$C$4:$C$1048576,[1]Manpower!$H$4:$H$1048576,"")</f>
        <v>Manpower</v>
      </c>
      <c r="J248" s="5" t="s">
        <v>38</v>
      </c>
      <c r="K248" s="5" t="s">
        <v>7</v>
      </c>
      <c r="L248" s="5" t="s">
        <v>39</v>
      </c>
      <c r="M248" s="5" t="s">
        <v>5</v>
      </c>
      <c r="N248" s="6">
        <v>10</v>
      </c>
      <c r="O248" s="5" t="s">
        <v>11</v>
      </c>
      <c r="P248" s="5" t="s">
        <v>13</v>
      </c>
      <c r="Q248" s="5" t="s">
        <v>12</v>
      </c>
      <c r="R248" s="5" t="s">
        <v>7</v>
      </c>
      <c r="S248" s="8"/>
    </row>
    <row r="249" spans="1:19" x14ac:dyDescent="0.3">
      <c r="A249" s="9" t="e">
        <f>IF(C249="","",MAX($A$2:A248)+1)</f>
        <v>#REF!</v>
      </c>
      <c r="B249" s="17" t="s">
        <v>36</v>
      </c>
      <c r="C249" s="11">
        <v>46091</v>
      </c>
      <c r="D249" s="13" t="str">
        <f>_xlfn.XLOOKUP([1]!Table134526_79101120212223242526[[#This Row],[Name Surname]],[1]Manpower!$C$4:$C$1048576,[1]Manpower!$B$4:$B$1048576,"")</f>
        <v>Encogroup</v>
      </c>
      <c r="E249" s="13" t="s">
        <v>46</v>
      </c>
      <c r="F249" s="12">
        <f>_xlfn.XLOOKUP([1]!Table134526_79101120212223242526[[#This Row],[Name Surname]],[1]Manpower!C:C,[1]Manpower!D:D,)</f>
        <v>140623599</v>
      </c>
      <c r="G249" s="13" t="str">
        <f>_xlfn.XLOOKUP([1]!Table134526_79101120212223242526[[#This Row],[Name Surname]],[1]Manpower!$C$4:$C$1048576,[1]Manpower!$F$4:$F$1048576,"")</f>
        <v>Mechanical Supervisor</v>
      </c>
      <c r="H249" s="13" t="str">
        <f>_xlfn.XLOOKUP([1]!Table134526_79101120212223242526[[#This Row],[Name Surname]],[1]Manpower!$C$4:$C$1048576,[1]Manpower!$H$4:$H$1048576,"")</f>
        <v>Manpower</v>
      </c>
      <c r="I249" s="11" t="str">
        <f>_xlfn.XLOOKUP([1]!Table134526_79101120212223242526[[#This Row],[Name Surname]],[1]Manpower!$C$4:$C$1048576,[1]Manpower!$H$4:$H$1048576,"")</f>
        <v>Manpower</v>
      </c>
      <c r="J249" s="13" t="s">
        <v>38</v>
      </c>
      <c r="K249" s="13" t="s">
        <v>7</v>
      </c>
      <c r="L249" s="13" t="s">
        <v>39</v>
      </c>
      <c r="M249" s="13" t="s">
        <v>18</v>
      </c>
      <c r="N249" s="14">
        <v>10</v>
      </c>
      <c r="O249" s="13"/>
      <c r="P249" s="13"/>
      <c r="Q249" s="13"/>
      <c r="R249" s="13" t="s">
        <v>68</v>
      </c>
      <c r="S249" s="15"/>
    </row>
    <row r="250" spans="1:19" x14ac:dyDescent="0.3">
      <c r="A250" s="1" t="e">
        <f>IF(C250="","",MAX($A$2:A249)+1)</f>
        <v>#REF!</v>
      </c>
      <c r="B250" s="17" t="s">
        <v>36</v>
      </c>
      <c r="C250" s="3">
        <v>46091</v>
      </c>
      <c r="D250" s="5" t="str">
        <f>_xlfn.XLOOKUP([1]!Table134526_79101120212223242526[[#This Row],[Name Surname]],[1]Manpower!$C$4:$C$1048576,[1]Manpower!$B$4:$B$1048576,"")</f>
        <v>Encogroup</v>
      </c>
      <c r="E250" s="5" t="s">
        <v>48</v>
      </c>
      <c r="F250" s="4">
        <f>_xlfn.XLOOKUP([1]!Table134526_79101120212223242526[[#This Row],[Name Surname]],[1]Manpower!C:C,[1]Manpower!D:D,)</f>
        <v>140696975</v>
      </c>
      <c r="G250" s="5" t="str">
        <f>_xlfn.XLOOKUP([1]!Table134526_79101120212223242526[[#This Row],[Name Surname]],[1]Manpower!$C$4:$C$1048576,[1]Manpower!$F$4:$F$1048576,"")</f>
        <v>Assistant/Helper</v>
      </c>
      <c r="H250" s="5" t="str">
        <f>_xlfn.XLOOKUP([1]!Table134526_79101120212223242526[[#This Row],[Name Surname]],[1]Manpower!$C$4:$C$1048576,[1]Manpower!$H$4:$H$1048576,"")</f>
        <v>Manpower</v>
      </c>
      <c r="I250" s="3" t="str">
        <f>_xlfn.XLOOKUP([1]!Table134526_79101120212223242526[[#This Row],[Name Surname]],[1]Manpower!$C$4:$C$1048576,[1]Manpower!$H$4:$H$1048576,"")</f>
        <v>Manpower</v>
      </c>
      <c r="J250" s="5" t="s">
        <v>38</v>
      </c>
      <c r="K250" s="5" t="s">
        <v>7</v>
      </c>
      <c r="L250" s="5" t="s">
        <v>39</v>
      </c>
      <c r="M250" s="5" t="s">
        <v>5</v>
      </c>
      <c r="N250" s="6">
        <v>10</v>
      </c>
      <c r="O250" s="5" t="s">
        <v>33</v>
      </c>
      <c r="P250" s="5" t="s">
        <v>33</v>
      </c>
      <c r="Q250" s="5" t="s">
        <v>33</v>
      </c>
      <c r="R250" s="5" t="s">
        <v>7</v>
      </c>
      <c r="S250" s="8"/>
    </row>
    <row r="251" spans="1:19" x14ac:dyDescent="0.3">
      <c r="A251" s="9" t="e">
        <f>IF(C251="","",MAX($A$2:A250)+1)</f>
        <v>#REF!</v>
      </c>
      <c r="B251" s="17" t="s">
        <v>36</v>
      </c>
      <c r="C251" s="11">
        <v>46091</v>
      </c>
      <c r="D251" s="13" t="str">
        <f>_xlfn.XLOOKUP([1]!Table134526_79101120212223242526[[#This Row],[Name Surname]],[1]Manpower!$C$4:$C$1048576,[1]Manpower!$B$4:$B$1048576,"")</f>
        <v>Encogroup</v>
      </c>
      <c r="E251" s="13" t="s">
        <v>49</v>
      </c>
      <c r="F251" s="12">
        <f>_xlfn.XLOOKUP([1]!Table134526_79101120212223242526[[#This Row],[Name Surname]],[1]Manpower!C:C,[1]Manpower!D:D,)</f>
        <v>121937785</v>
      </c>
      <c r="G251" s="13" t="str">
        <f>_xlfn.XLOOKUP([1]!Table134526_79101120212223242526[[#This Row],[Name Surname]],[1]Manpower!$C$4:$C$1048576,[1]Manpower!$F$4:$F$1048576,"")</f>
        <v>Scaffolding Inspector</v>
      </c>
      <c r="H251" s="13" t="str">
        <f>_xlfn.XLOOKUP([1]!Table134526_79101120212223242526[[#This Row],[Name Surname]],[1]Manpower!$C$4:$C$1048576,[1]Manpower!$H$4:$H$1048576,"")</f>
        <v>Manpower</v>
      </c>
      <c r="I251" s="11" t="str">
        <f>_xlfn.XLOOKUP([1]!Table134526_79101120212223242526[[#This Row],[Name Surname]],[1]Manpower!$C$4:$C$1048576,[1]Manpower!$H$4:$H$1048576,"")</f>
        <v>Manpower</v>
      </c>
      <c r="J251" s="13" t="s">
        <v>38</v>
      </c>
      <c r="K251" s="13" t="s">
        <v>7</v>
      </c>
      <c r="L251" s="13" t="s">
        <v>39</v>
      </c>
      <c r="M251" s="13" t="s">
        <v>5</v>
      </c>
      <c r="N251" s="14">
        <v>10</v>
      </c>
      <c r="O251" s="13" t="s">
        <v>33</v>
      </c>
      <c r="P251" s="13" t="s">
        <v>33</v>
      </c>
      <c r="Q251" s="13" t="s">
        <v>33</v>
      </c>
      <c r="R251" s="13" t="s">
        <v>7</v>
      </c>
      <c r="S251" s="15"/>
    </row>
    <row r="252" spans="1:19" x14ac:dyDescent="0.3">
      <c r="A252" s="1" t="e">
        <f>IF(C252="","",MAX($A$2:A251)+1)</f>
        <v>#REF!</v>
      </c>
      <c r="B252" s="17" t="s">
        <v>36</v>
      </c>
      <c r="C252" s="3">
        <v>46091</v>
      </c>
      <c r="D252" s="5" t="str">
        <f>_xlfn.XLOOKUP([1]!Table134526_79101120212223242526[[#This Row],[Name Surname]],[1]Manpower!$C$4:$C$1048576,[1]Manpower!$B$4:$B$1048576,"")</f>
        <v xml:space="preserve">AL Omar International </v>
      </c>
      <c r="E252" s="5" t="s">
        <v>50</v>
      </c>
      <c r="F252" s="4">
        <f>_xlfn.XLOOKUP([1]!Table134526_79101120212223242526[[#This Row],[Name Surname]],[1]Manpower!C:C,[1]Manpower!D:D,)</f>
        <v>85812175</v>
      </c>
      <c r="G252" s="5" t="str">
        <f>_xlfn.XLOOKUP([1]!Table134526_79101120212223242526[[#This Row],[Name Surname]],[1]Manpower!$C$4:$C$1048576,[1]Manpower!$F$4:$F$1048576,"")</f>
        <v>Scaffolding Supervisor</v>
      </c>
      <c r="H252" s="5" t="str">
        <f>_xlfn.XLOOKUP([1]!Table134526_79101120212223242526[[#This Row],[Name Surname]],[1]Manpower!$C$4:$C$1048576,[1]Manpower!$H$4:$H$1048576,"")</f>
        <v>Sub Contactor</v>
      </c>
      <c r="I252" s="3" t="str">
        <f>_xlfn.XLOOKUP([1]!Table134526_79101120212223242526[[#This Row],[Name Surname]],[1]Manpower!$C$4:$C$1048576,[1]Manpower!$H$4:$H$1048576,"")</f>
        <v>Sub Contactor</v>
      </c>
      <c r="J252" s="5" t="s">
        <v>38</v>
      </c>
      <c r="K252" s="5" t="s">
        <v>7</v>
      </c>
      <c r="L252" s="5" t="s">
        <v>39</v>
      </c>
      <c r="M252" s="5" t="s">
        <v>5</v>
      </c>
      <c r="N252" s="6">
        <v>10</v>
      </c>
      <c r="O252" s="5"/>
      <c r="P252" s="5"/>
      <c r="Q252" s="5"/>
      <c r="R252" s="5" t="s">
        <v>7</v>
      </c>
      <c r="S252" s="8"/>
    </row>
    <row r="253" spans="1:19" x14ac:dyDescent="0.3">
      <c r="A253" s="9" t="e">
        <f>IF(C253="","",MAX($A$2:A252)+1)</f>
        <v>#REF!</v>
      </c>
      <c r="B253" s="17" t="s">
        <v>36</v>
      </c>
      <c r="C253" s="11">
        <v>46091</v>
      </c>
      <c r="D253" s="13" t="str">
        <f>_xlfn.XLOOKUP([1]!Table134526_79101120212223242526[[#This Row],[Name Surname]],[1]Manpower!$C$4:$C$1048576,[1]Manpower!$B$4:$B$1048576,"")</f>
        <v>AL Omar International TRAD AND CONT</v>
      </c>
      <c r="E253" s="11" t="s">
        <v>51</v>
      </c>
      <c r="F253" s="12">
        <f>_xlfn.XLOOKUP([1]!Table134526_79101120212223242526[[#This Row],[Name Surname]],[1]Manpower!C:C,[1]Manpower!D:D,)</f>
        <v>95335424</v>
      </c>
      <c r="G253" s="13" t="str">
        <f>_xlfn.XLOOKUP([1]!Table134526_79101120212223242526[[#This Row],[Name Surname]],[1]Manpower!$C$4:$C$1048576,[1]Manpower!$F$4:$F$1048576,"")</f>
        <v>Scaffolder</v>
      </c>
      <c r="H253" s="13" t="str">
        <f>_xlfn.XLOOKUP([1]!Table134526_79101120212223242526[[#This Row],[Name Surname]],[1]Manpower!$C$4:$C$1048576,[1]Manpower!$H$4:$H$1048576,"")</f>
        <v>Sub Contactor</v>
      </c>
      <c r="I253" s="11" t="str">
        <f>_xlfn.XLOOKUP([1]!Table134526_79101120212223242526[[#This Row],[Name Surname]],[1]Manpower!$C$4:$C$1048576,[1]Manpower!$H$4:$H$1048576,"")</f>
        <v>Sub Contactor</v>
      </c>
      <c r="J253" s="13" t="s">
        <v>38</v>
      </c>
      <c r="K253" s="13" t="s">
        <v>7</v>
      </c>
      <c r="L253" s="13" t="s">
        <v>39</v>
      </c>
      <c r="M253" s="13" t="s">
        <v>18</v>
      </c>
      <c r="N253" s="14">
        <v>10</v>
      </c>
      <c r="O253" s="13"/>
      <c r="P253" s="13"/>
      <c r="Q253" s="13"/>
      <c r="R253" s="13" t="s">
        <v>19</v>
      </c>
      <c r="S253" s="15"/>
    </row>
    <row r="254" spans="1:19" x14ac:dyDescent="0.3">
      <c r="A254" s="1" t="e">
        <f>IF(C254="","",MAX($A$2:A253)+1)</f>
        <v>#REF!</v>
      </c>
      <c r="B254" s="17" t="s">
        <v>36</v>
      </c>
      <c r="C254" s="3">
        <v>46091</v>
      </c>
      <c r="D254" s="5" t="str">
        <f>_xlfn.XLOOKUP([1]!Table134526_79101120212223242526[[#This Row],[Name Surname]],[1]Manpower!$C$4:$C$1048576,[1]Manpower!$B$4:$B$1048576,"")</f>
        <v>AL Omar International TRAD AND CONT</v>
      </c>
      <c r="E254" s="3" t="s">
        <v>52</v>
      </c>
      <c r="F254" s="4">
        <f>_xlfn.XLOOKUP([1]!Table134526_79101120212223242526[[#This Row],[Name Surname]],[1]Manpower!C:C,[1]Manpower!D:D,)</f>
        <v>96409155</v>
      </c>
      <c r="G254" s="5" t="str">
        <f>_xlfn.XLOOKUP([1]!Table134526_79101120212223242526[[#This Row],[Name Surname]],[1]Manpower!$C$4:$C$1048576,[1]Manpower!$F$4:$F$1048576,"")</f>
        <v>Scaffolder</v>
      </c>
      <c r="H254" s="5" t="str">
        <f>_xlfn.XLOOKUP([1]!Table134526_79101120212223242526[[#This Row],[Name Surname]],[1]Manpower!$C$4:$C$1048576,[1]Manpower!$H$4:$H$1048576,"")</f>
        <v>Sub Contactor</v>
      </c>
      <c r="I254" s="3" t="str">
        <f>_xlfn.XLOOKUP([1]!Table134526_79101120212223242526[[#This Row],[Name Surname]],[1]Manpower!$C$4:$C$1048576,[1]Manpower!$H$4:$H$1048576,"")</f>
        <v>Sub Contactor</v>
      </c>
      <c r="J254" s="5" t="s">
        <v>38</v>
      </c>
      <c r="K254" s="5" t="s">
        <v>7</v>
      </c>
      <c r="L254" s="5" t="s">
        <v>39</v>
      </c>
      <c r="M254" s="5" t="s">
        <v>5</v>
      </c>
      <c r="N254" s="6">
        <v>10</v>
      </c>
      <c r="O254" s="5" t="s">
        <v>33</v>
      </c>
      <c r="P254" s="5" t="s">
        <v>33</v>
      </c>
      <c r="Q254" s="5" t="s">
        <v>33</v>
      </c>
      <c r="R254" s="5" t="s">
        <v>7</v>
      </c>
      <c r="S254" s="8"/>
    </row>
    <row r="255" spans="1:19" x14ac:dyDescent="0.3">
      <c r="A255" s="9" t="e">
        <f>IF(C255="","",MAX($A$2:A254)+1)</f>
        <v>#REF!</v>
      </c>
      <c r="B255" s="17" t="s">
        <v>36</v>
      </c>
      <c r="C255" s="11">
        <v>46091</v>
      </c>
      <c r="D255" s="13" t="str">
        <f>_xlfn.XLOOKUP([1]!Table134526_79101120212223242526[[#This Row],[Name Surname]],[1]Manpower!$C$4:$C$1048576,[1]Manpower!$B$4:$B$1048576,"")</f>
        <v>AL Omar International TRAD AND CONT</v>
      </c>
      <c r="E255" s="13" t="s">
        <v>53</v>
      </c>
      <c r="F255" s="12">
        <f>_xlfn.XLOOKUP([1]!Table134526_79101120212223242526[[#This Row],[Name Surname]],[1]Manpower!C:C,[1]Manpower!D:D,)</f>
        <v>105813698</v>
      </c>
      <c r="G255" s="13" t="str">
        <f>_xlfn.XLOOKUP([1]!Table134526_79101120212223242526[[#This Row],[Name Surname]],[1]Manpower!$C$4:$C$1048576,[1]Manpower!$F$4:$F$1048576,"")</f>
        <v>Scaffolding Inspector</v>
      </c>
      <c r="H255" s="13" t="str">
        <f>_xlfn.XLOOKUP([1]!Table134526_79101120212223242526[[#This Row],[Name Surname]],[1]Manpower!$C$4:$C$1048576,[1]Manpower!$H$4:$H$1048576,"")</f>
        <v>Sub Contactor</v>
      </c>
      <c r="I255" s="11" t="str">
        <f>_xlfn.XLOOKUP([1]!Table134526_79101120212223242526[[#This Row],[Name Surname]],[1]Manpower!$C$4:$C$1048576,[1]Manpower!$H$4:$H$1048576,"")</f>
        <v>Sub Contactor</v>
      </c>
      <c r="J255" s="13" t="s">
        <v>38</v>
      </c>
      <c r="K255" s="13" t="s">
        <v>7</v>
      </c>
      <c r="L255" s="13" t="s">
        <v>39</v>
      </c>
      <c r="M255" s="13" t="s">
        <v>5</v>
      </c>
      <c r="N255" s="14">
        <v>10</v>
      </c>
      <c r="O255" s="13" t="s">
        <v>33</v>
      </c>
      <c r="P255" s="13" t="s">
        <v>33</v>
      </c>
      <c r="Q255" s="13" t="s">
        <v>33</v>
      </c>
      <c r="R255" s="13" t="s">
        <v>7</v>
      </c>
      <c r="S255" s="15"/>
    </row>
    <row r="256" spans="1:19" x14ac:dyDescent="0.3">
      <c r="A256" s="1" t="e">
        <f>IF(C256="","",MAX($A$2:A255)+1)</f>
        <v>#REF!</v>
      </c>
      <c r="B256" s="17" t="s">
        <v>36</v>
      </c>
      <c r="C256" s="3">
        <v>46091</v>
      </c>
      <c r="D256" s="5" t="str">
        <f>_xlfn.XLOOKUP([1]!Table134526_79101120212223242526[[#This Row],[Name Surname]],[1]Manpower!$C$4:$C$1048576,[1]Manpower!$B$4:$B$1048576,"")</f>
        <v>AL Saif &amp; Al QALLM ENT LLC</v>
      </c>
      <c r="E256" s="5" t="s">
        <v>54</v>
      </c>
      <c r="F256" s="4">
        <f>_xlfn.XLOOKUP([1]!Table134526_79101120212223242526[[#This Row],[Name Surname]],[1]Manpower!C:C,[1]Manpower!D:D,)</f>
        <v>135340657</v>
      </c>
      <c r="G256" s="5" t="str">
        <f>_xlfn.XLOOKUP([1]!Table134526_79101120212223242526[[#This Row],[Name Surname]],[1]Manpower!$C$4:$C$1048576,[1]Manpower!$F$4:$F$1048576,"")</f>
        <v>Forklift Operator</v>
      </c>
      <c r="H256" s="5" t="str">
        <f>_xlfn.XLOOKUP([1]!Table134526_79101120212223242526[[#This Row],[Name Surname]],[1]Manpower!$C$4:$C$1048576,[1]Manpower!$H$4:$H$1048576,"")</f>
        <v>Sub Contactor</v>
      </c>
      <c r="I256" s="3" t="str">
        <f>_xlfn.XLOOKUP([1]!Table134526_79101120212223242526[[#This Row],[Name Surname]],[1]Manpower!$C$4:$C$1048576,[1]Manpower!$H$4:$H$1048576,"")</f>
        <v>Sub Contactor</v>
      </c>
      <c r="J256" s="5" t="s">
        <v>38</v>
      </c>
      <c r="K256" s="5" t="s">
        <v>7</v>
      </c>
      <c r="L256" s="5" t="s">
        <v>39</v>
      </c>
      <c r="M256" s="5" t="s">
        <v>5</v>
      </c>
      <c r="N256" s="6">
        <v>10</v>
      </c>
      <c r="O256" s="5" t="s">
        <v>33</v>
      </c>
      <c r="P256" s="5" t="s">
        <v>33</v>
      </c>
      <c r="Q256" s="5" t="s">
        <v>33</v>
      </c>
      <c r="R256" s="5" t="s">
        <v>7</v>
      </c>
      <c r="S256" s="8"/>
    </row>
    <row r="257" spans="1:19" x14ac:dyDescent="0.3">
      <c r="A257" s="9" t="e">
        <f>IF(C257="","",MAX($A$2:A256)+1)</f>
        <v>#REF!</v>
      </c>
      <c r="B257" s="17" t="s">
        <v>36</v>
      </c>
      <c r="C257" s="11">
        <v>46091</v>
      </c>
      <c r="D257" s="13" t="str">
        <f>_xlfn.XLOOKUP([1]!Table134526_79101120212223242526[[#This Row],[Name Surname]],[1]Manpower!$C$4:$C$1048576,[1]Manpower!$B$4:$B$1048576,"")</f>
        <v>Encogroup</v>
      </c>
      <c r="E257" s="13" t="s">
        <v>55</v>
      </c>
      <c r="F257" s="12">
        <f>_xlfn.XLOOKUP([1]!Table134526_79101120212223242526[[#This Row],[Name Surname]],[1]Manpower!C:C,[1]Manpower!D:D,)</f>
        <v>140844586</v>
      </c>
      <c r="G257" s="13" t="str">
        <f>_xlfn.XLOOKUP([1]!Table134526_79101120212223242526[[#This Row],[Name Surname]],[1]Manpower!$C$4:$C$1048576,[1]Manpower!$F$4:$F$1048576,"")</f>
        <v>Assistant/Helper</v>
      </c>
      <c r="H257" s="13" t="str">
        <f>_xlfn.XLOOKUP([1]!Table134526_79101120212223242526[[#This Row],[Name Surname]],[1]Manpower!$C$4:$C$1048576,[1]Manpower!$H$4:$H$1048576,"")</f>
        <v>Manpower</v>
      </c>
      <c r="I257" s="11" t="str">
        <f>_xlfn.XLOOKUP([1]!Table134526_79101120212223242526[[#This Row],[Name Surname]],[1]Manpower!$C$4:$C$1048576,[1]Manpower!$H$4:$H$1048576,"")</f>
        <v>Manpower</v>
      </c>
      <c r="J257" s="13" t="s">
        <v>38</v>
      </c>
      <c r="K257" s="13" t="s">
        <v>7</v>
      </c>
      <c r="L257" s="13" t="s">
        <v>39</v>
      </c>
      <c r="M257" s="13" t="s">
        <v>5</v>
      </c>
      <c r="N257" s="14">
        <v>10</v>
      </c>
      <c r="O257" s="13" t="s">
        <v>33</v>
      </c>
      <c r="P257" s="13" t="s">
        <v>33</v>
      </c>
      <c r="Q257" s="13" t="s">
        <v>33</v>
      </c>
      <c r="R257" s="13" t="s">
        <v>7</v>
      </c>
      <c r="S257" s="15"/>
    </row>
    <row r="258" spans="1:19" x14ac:dyDescent="0.3">
      <c r="A258" s="1" t="e">
        <f>IF(C258="","",MAX($A$2:A257)+1)</f>
        <v>#REF!</v>
      </c>
      <c r="B258" s="17" t="s">
        <v>36</v>
      </c>
      <c r="C258" s="3">
        <v>46091</v>
      </c>
      <c r="D258" s="5" t="str">
        <f>_xlfn.XLOOKUP([1]!Table134526_79101120212223242526[[#This Row],[Name Surname]],[1]Manpower!$C$4:$C$1048576,[1]Manpower!$B$4:$B$1048576,"")</f>
        <v>AL Omar International TRAD AND CONT</v>
      </c>
      <c r="E258" s="5" t="s">
        <v>56</v>
      </c>
      <c r="F258" s="4">
        <f>_xlfn.XLOOKUP([1]!Table134526_79101120212223242526[[#This Row],[Name Surname]],[1]Manpower!C:C,[1]Manpower!D:D,)</f>
        <v>106093463</v>
      </c>
      <c r="G258" s="5" t="str">
        <f>_xlfn.XLOOKUP([1]!Table134526_79101120212223242526[[#This Row],[Name Surname]],[1]Manpower!$C$4:$C$1048576,[1]Manpower!$F$4:$F$1048576,"")</f>
        <v>RIgger</v>
      </c>
      <c r="H258" s="5" t="str">
        <f>_xlfn.XLOOKUP([1]!Table134526_79101120212223242526[[#This Row],[Name Surname]],[1]Manpower!$C$4:$C$1048576,[1]Manpower!$H$4:$H$1048576,"")</f>
        <v>Sub Contactor</v>
      </c>
      <c r="I258" s="3" t="str">
        <f>_xlfn.XLOOKUP([1]!Table134526_79101120212223242526[[#This Row],[Name Surname]],[1]Manpower!$C$4:$C$1048576,[1]Manpower!$H$4:$H$1048576,"")</f>
        <v>Sub Contactor</v>
      </c>
      <c r="J258" s="5" t="s">
        <v>38</v>
      </c>
      <c r="K258" s="5" t="s">
        <v>7</v>
      </c>
      <c r="L258" s="5" t="s">
        <v>39</v>
      </c>
      <c r="M258" s="5" t="s">
        <v>5</v>
      </c>
      <c r="N258" s="6">
        <v>10</v>
      </c>
      <c r="O258" s="5" t="s">
        <v>33</v>
      </c>
      <c r="P258" s="5" t="s">
        <v>33</v>
      </c>
      <c r="Q258" s="5" t="s">
        <v>33</v>
      </c>
      <c r="R258" s="5" t="s">
        <v>7</v>
      </c>
      <c r="S258" s="8"/>
    </row>
    <row r="259" spans="1:19" x14ac:dyDescent="0.3">
      <c r="A259" s="9" t="e">
        <f>IF(C259="","",MAX($A$2:A258)+1)</f>
        <v>#REF!</v>
      </c>
      <c r="B259" s="17" t="s">
        <v>36</v>
      </c>
      <c r="C259" s="11">
        <v>46091</v>
      </c>
      <c r="D259" s="13" t="str">
        <f>_xlfn.XLOOKUP([1]!Table134526_79101120212223242526[[#This Row],[Name Surname]],[1]Manpower!$C$4:$C$1048576,[1]Manpower!$B$4:$B$1048576,"")</f>
        <v>Al Asrah Al Mumayaza Trad</v>
      </c>
      <c r="E259" s="13" t="s">
        <v>57</v>
      </c>
      <c r="F259" s="12" t="e">
        <f>_xlfn.XLOOKUP([1]!Table134526_79101120212223242526[[#This Row],[Name Surname]],[1]Manpower!C:C,[1]Manpower!D:D,)</f>
        <v>#N/A</v>
      </c>
      <c r="G259" s="13" t="str">
        <f>_xlfn.XLOOKUP([1]!Table134526_79101120212223242526[[#This Row],[Name Surname]],[1]Manpower!$C$4:$C$1048576,[1]Manpower!$F$4:$F$1048576,"")</f>
        <v>PICK-UP</v>
      </c>
      <c r="H259" s="13" t="str">
        <f>_xlfn.XLOOKUP([1]!Table134526_79101120212223242526[[#This Row],[Name Surname]],[1]Manpower!$C$4:$C$1048576,[1]Manpower!$H$4:$H$1048576,"")</f>
        <v>Equipment</v>
      </c>
      <c r="I259" s="11" t="str">
        <f>_xlfn.XLOOKUP([1]!Table134526_79101120212223242526[[#This Row],[Name Surname]],[1]Manpower!$C$4:$C$1048576,[1]Manpower!$H$4:$H$1048576,"")</f>
        <v>Equipment</v>
      </c>
      <c r="J259" s="13" t="s">
        <v>38</v>
      </c>
      <c r="K259" s="13" t="s">
        <v>7</v>
      </c>
      <c r="L259" s="13" t="s">
        <v>39</v>
      </c>
      <c r="M259" s="13" t="s">
        <v>5</v>
      </c>
      <c r="N259" s="14">
        <v>8</v>
      </c>
      <c r="O259" s="13" t="s">
        <v>11</v>
      </c>
      <c r="P259" s="13" t="s">
        <v>13</v>
      </c>
      <c r="Q259" s="13" t="s">
        <v>13</v>
      </c>
      <c r="R259" s="13" t="s">
        <v>7</v>
      </c>
      <c r="S259" s="15"/>
    </row>
    <row r="260" spans="1:19" x14ac:dyDescent="0.3">
      <c r="A260" s="1" t="e">
        <f>IF(C260="","",MAX($A$2:A259)+1)</f>
        <v>#REF!</v>
      </c>
      <c r="B260" s="17" t="s">
        <v>36</v>
      </c>
      <c r="C260" s="3">
        <v>46091</v>
      </c>
      <c r="D260" s="5" t="str">
        <f>_xlfn.XLOOKUP([1]!Table134526_79101120212223242526[[#This Row],[Name Surname]],[1]Manpower!$C$4:$C$1048576,[1]Manpower!$B$4:$B$1048576,"")</f>
        <v>Al Asrah Al Mumayaza Trad</v>
      </c>
      <c r="E260" s="3" t="s">
        <v>58</v>
      </c>
      <c r="F260" s="4" t="e">
        <f>_xlfn.XLOOKUP([1]!Table134526_79101120212223242526[[#This Row],[Name Surname]],[1]Manpower!C:C,[1]Manpower!D:D,)</f>
        <v>#N/A</v>
      </c>
      <c r="G260" s="5" t="str">
        <f>_xlfn.XLOOKUP([1]!Table134526_79101120212223242526[[#This Row],[Name Surname]],[1]Manpower!$C$4:$C$1048576,[1]Manpower!$F$4:$F$1048576,"")</f>
        <v>PICK-UP</v>
      </c>
      <c r="H260" s="5" t="str">
        <f>_xlfn.XLOOKUP([1]!Table134526_79101120212223242526[[#This Row],[Name Surname]],[1]Manpower!$C$4:$C$1048576,[1]Manpower!$H$4:$H$1048576,"")</f>
        <v>Equipment</v>
      </c>
      <c r="I260" s="3" t="str">
        <f>_xlfn.XLOOKUP([1]!Table134526_79101120212223242526[[#This Row],[Name Surname]],[1]Manpower!$C$4:$C$1048576,[1]Manpower!$H$4:$H$1048576,"")</f>
        <v>Equipment</v>
      </c>
      <c r="J260" s="5" t="s">
        <v>38</v>
      </c>
      <c r="K260" s="5" t="s">
        <v>7</v>
      </c>
      <c r="L260" s="5" t="s">
        <v>39</v>
      </c>
      <c r="M260" s="5" t="s">
        <v>18</v>
      </c>
      <c r="N260" s="6">
        <v>10</v>
      </c>
      <c r="O260" s="5"/>
      <c r="P260" s="5"/>
      <c r="Q260" s="5"/>
      <c r="R260" s="5" t="s">
        <v>19</v>
      </c>
      <c r="S260" s="8"/>
    </row>
    <row r="261" spans="1:19" x14ac:dyDescent="0.3">
      <c r="A261" s="9" t="e">
        <f>IF(C261="","",MAX($A$2:A260)+1)</f>
        <v>#REF!</v>
      </c>
      <c r="B261" s="17" t="s">
        <v>36</v>
      </c>
      <c r="C261" s="11">
        <v>46091</v>
      </c>
      <c r="D261" s="13" t="str">
        <f>_xlfn.XLOOKUP([1]!Table134526_79101120212223242526[[#This Row],[Name Surname]],[1]Manpower!$C$4:$C$1048576,[1]Manpower!$B$4:$B$1048576,"")</f>
        <v>Al Asrah Al Mumayaza Trad</v>
      </c>
      <c r="E261" s="11" t="s">
        <v>59</v>
      </c>
      <c r="F261" s="12" t="e">
        <f>_xlfn.XLOOKUP([1]!Table134526_79101120212223242526[[#This Row],[Name Surname]],[1]Manpower!C:C,[1]Manpower!D:D,)</f>
        <v>#N/A</v>
      </c>
      <c r="G261" s="13" t="str">
        <f>_xlfn.XLOOKUP([1]!Table134526_79101120212223242526[[#This Row],[Name Surname]],[1]Manpower!$C$4:$C$1048576,[1]Manpower!$F$4:$F$1048576,"")</f>
        <v>PICK-UP</v>
      </c>
      <c r="H261" s="13" t="str">
        <f>_xlfn.XLOOKUP([1]!Table134526_79101120212223242526[[#This Row],[Name Surname]],[1]Manpower!$C$4:$C$1048576,[1]Manpower!$H$4:$H$1048576,"")</f>
        <v>Equipment</v>
      </c>
      <c r="I261" s="11" t="str">
        <f>_xlfn.XLOOKUP([1]!Table134526_79101120212223242526[[#This Row],[Name Surname]],[1]Manpower!$C$4:$C$1048576,[1]Manpower!$H$4:$H$1048576,"")</f>
        <v>Equipment</v>
      </c>
      <c r="J261" s="13" t="s">
        <v>38</v>
      </c>
      <c r="K261" s="13" t="s">
        <v>7</v>
      </c>
      <c r="L261" s="13" t="s">
        <v>39</v>
      </c>
      <c r="M261" s="13" t="s">
        <v>18</v>
      </c>
      <c r="N261" s="14">
        <v>10</v>
      </c>
      <c r="O261" s="13"/>
      <c r="P261" s="13"/>
      <c r="Q261" s="13"/>
      <c r="R261" s="13" t="s">
        <v>19</v>
      </c>
      <c r="S261" s="15"/>
    </row>
    <row r="262" spans="1:19" x14ac:dyDescent="0.3">
      <c r="A262" s="1" t="e">
        <f>IF(C262="","",MAX($A$2:A261)+1)</f>
        <v>#REF!</v>
      </c>
      <c r="B262" s="2" t="s">
        <v>0</v>
      </c>
      <c r="C262" s="3">
        <v>46092</v>
      </c>
      <c r="D262" s="5" t="str">
        <f>_xlfn.XLOOKUP([1]!Table134526_79101120212223242526[[#This Row],[Name Surname]],[1]Manpower!$C$4:$C$1048576,[1]Manpower!$B$4:$B$1048576,"")</f>
        <v>Al Asrah Al Mumayaza Trad</v>
      </c>
      <c r="E262" s="5" t="s">
        <v>43</v>
      </c>
      <c r="F262" s="4" t="e">
        <f>_xlfn.XLOOKUP([1]!Table134526_79101120212223242526[[#This Row],[Name Surname]],[1]Manpower!C:C,[1]Manpower!D:D,)</f>
        <v>#N/A</v>
      </c>
      <c r="G262" s="5" t="str">
        <f>_xlfn.XLOOKUP([1]!Table134526_79101120212223242526[[#This Row],[Name Surname]],[1]Manpower!$C$4:$C$1048576,[1]Manpower!$F$4:$F$1048576,"")</f>
        <v>PICK-UP</v>
      </c>
      <c r="H262" s="5" t="str">
        <f>_xlfn.XLOOKUP([1]!Table134526_79101120212223242526[[#This Row],[Name Surname]],[1]Manpower!$C$4:$C$1048576,[1]Manpower!$H$4:$H$1048576,"")</f>
        <v>Equipment</v>
      </c>
      <c r="I262" s="3" t="str">
        <f>_xlfn.XLOOKUP([1]!Table134526_79101120212223242526[[#This Row],[Name Surname]],[1]Manpower!$C$4:$C$1048576,[1]Manpower!$H$4:$H$1048576,"")</f>
        <v>Equipment</v>
      </c>
      <c r="J262" s="5" t="s">
        <v>2</v>
      </c>
      <c r="K262" s="5" t="s">
        <v>64</v>
      </c>
      <c r="L262" s="5" t="s">
        <v>10</v>
      </c>
      <c r="M262" s="5" t="s">
        <v>5</v>
      </c>
      <c r="N262" s="6">
        <v>10</v>
      </c>
      <c r="O262" s="5" t="s">
        <v>11</v>
      </c>
      <c r="P262" s="5" t="s">
        <v>12</v>
      </c>
      <c r="Q262" s="5" t="s">
        <v>13</v>
      </c>
      <c r="R262" s="5" t="s">
        <v>80</v>
      </c>
      <c r="S262" s="8"/>
    </row>
    <row r="263" spans="1:19" x14ac:dyDescent="0.3">
      <c r="A263" s="9" t="e">
        <f>IF(C263="","",MAX($A$2:A262)+1)</f>
        <v>#REF!</v>
      </c>
      <c r="B263" s="10" t="s">
        <v>0</v>
      </c>
      <c r="C263" s="11">
        <v>46092</v>
      </c>
      <c r="D263" s="13" t="str">
        <f>_xlfn.XLOOKUP([1]!Table134526_79101120212223242526[[#This Row],[Name Surname]],[1]Manpower!$C$4:$C$1048576,[1]Manpower!$B$4:$B$1048576,"")</f>
        <v>Encogroup</v>
      </c>
      <c r="E263" s="11" t="s">
        <v>61</v>
      </c>
      <c r="F263" s="12">
        <f>_xlfn.XLOOKUP([1]!Table134526_79101120212223242526[[#This Row],[Name Surname]],[1]Manpower!C:C,[1]Manpower!D:D,)</f>
        <v>140805592</v>
      </c>
      <c r="G263" s="13" t="str">
        <f>_xlfn.XLOOKUP([1]!Table134526_79101120212223242526[[#This Row],[Name Surname]],[1]Manpower!$C$4:$C$1048576,[1]Manpower!$F$4:$F$1048576,"")</f>
        <v>Assistant/Helper</v>
      </c>
      <c r="H263" s="13" t="str">
        <f>_xlfn.XLOOKUP([1]!Table134526_79101120212223242526[[#This Row],[Name Surname]],[1]Manpower!$C$4:$C$1048576,[1]Manpower!$H$4:$H$1048576,"")</f>
        <v>Manpower</v>
      </c>
      <c r="I263" s="11" t="str">
        <f>_xlfn.XLOOKUP([1]!Table134526_79101120212223242526[[#This Row],[Name Surname]],[1]Manpower!$C$4:$C$1048576,[1]Manpower!$H$4:$H$1048576,"")</f>
        <v>Manpower</v>
      </c>
      <c r="J263" s="13" t="s">
        <v>9</v>
      </c>
      <c r="K263" s="13" t="s">
        <v>7</v>
      </c>
      <c r="L263" s="13" t="s">
        <v>10</v>
      </c>
      <c r="M263" s="13" t="s">
        <v>5</v>
      </c>
      <c r="N263" s="14">
        <v>10</v>
      </c>
      <c r="O263" s="13" t="s">
        <v>11</v>
      </c>
      <c r="P263" s="13" t="s">
        <v>12</v>
      </c>
      <c r="Q263" s="13" t="s">
        <v>13</v>
      </c>
      <c r="R263" s="13" t="s">
        <v>7</v>
      </c>
      <c r="S263" s="15"/>
    </row>
    <row r="264" spans="1:19" x14ac:dyDescent="0.3">
      <c r="A264" s="1" t="e">
        <f>IF(C264="","",MAX($A$2:A263)+1)</f>
        <v>#REF!</v>
      </c>
      <c r="B264" s="10" t="s">
        <v>0</v>
      </c>
      <c r="C264" s="3">
        <v>46092</v>
      </c>
      <c r="D264" s="5" t="str">
        <f>_xlfn.XLOOKUP([1]!Table134526_79101120212223242526[[#This Row],[Name Surname]],[1]Manpower!$C$4:$C$1048576,[1]Manpower!$B$4:$B$1048576,"")</f>
        <v>Encogroup</v>
      </c>
      <c r="E264" s="5" t="s">
        <v>8</v>
      </c>
      <c r="F264" s="4">
        <f>_xlfn.XLOOKUP([1]!Table134526_79101120212223242526[[#This Row],[Name Surname]],[1]Manpower!C:C,[1]Manpower!D:D,)</f>
        <v>140683371</v>
      </c>
      <c r="G264" s="5" t="str">
        <f>_xlfn.XLOOKUP([1]!Table134526_79101120212223242526[[#This Row],[Name Surname]],[1]Manpower!$C$4:$C$1048576,[1]Manpower!$F$4:$F$1048576,"")</f>
        <v>Rigger</v>
      </c>
      <c r="H264" s="5" t="str">
        <f>_xlfn.XLOOKUP([1]!Table134526_79101120212223242526[[#This Row],[Name Surname]],[1]Manpower!$C$4:$C$1048576,[1]Manpower!$H$4:$H$1048576,"")</f>
        <v>Manpower</v>
      </c>
      <c r="I264" s="3" t="str">
        <f>_xlfn.XLOOKUP([1]!Table134526_79101120212223242526[[#This Row],[Name Surname]],[1]Manpower!$C$4:$C$1048576,[1]Manpower!$H$4:$H$1048576,"")</f>
        <v>Manpower</v>
      </c>
      <c r="J264" s="5" t="s">
        <v>9</v>
      </c>
      <c r="K264" s="5" t="s">
        <v>7</v>
      </c>
      <c r="L264" s="5" t="s">
        <v>10</v>
      </c>
      <c r="M264" s="5" t="s">
        <v>5</v>
      </c>
      <c r="N264" s="6">
        <v>10</v>
      </c>
      <c r="O264" s="5" t="s">
        <v>11</v>
      </c>
      <c r="P264" s="5" t="s">
        <v>12</v>
      </c>
      <c r="Q264" s="5" t="s">
        <v>13</v>
      </c>
      <c r="R264" s="5" t="s">
        <v>7</v>
      </c>
      <c r="S264" s="8"/>
    </row>
    <row r="265" spans="1:19" x14ac:dyDescent="0.3">
      <c r="A265" s="9" t="e">
        <f>IF(C265="","",MAX($A$2:A264)+1)</f>
        <v>#REF!</v>
      </c>
      <c r="B265" s="10" t="s">
        <v>0</v>
      </c>
      <c r="C265" s="11">
        <v>46092</v>
      </c>
      <c r="D265" s="13" t="str">
        <f>_xlfn.XLOOKUP([1]!Table134526_79101120212223242526[[#This Row],[Name Surname]],[1]Manpower!$C$4:$C$1048576,[1]Manpower!$B$4:$B$1048576,"")</f>
        <v>Encogroup</v>
      </c>
      <c r="E265" s="13" t="s">
        <v>15</v>
      </c>
      <c r="F265" s="12">
        <f>_xlfn.XLOOKUP([1]!Table134526_79101120212223242526[[#This Row],[Name Surname]],[1]Manpower!C:C,[1]Manpower!D:D,)</f>
        <v>140844572</v>
      </c>
      <c r="G265" s="13" t="str">
        <f>_xlfn.XLOOKUP([1]!Table134526_79101120212223242526[[#This Row],[Name Surname]],[1]Manpower!$C$4:$C$1048576,[1]Manpower!$F$4:$F$1048576,"")</f>
        <v>Assistant/Helper</v>
      </c>
      <c r="H265" s="13" t="str">
        <f>_xlfn.XLOOKUP([1]!Table134526_79101120212223242526[[#This Row],[Name Surname]],[1]Manpower!$C$4:$C$1048576,[1]Manpower!$H$4:$H$1048576,"")</f>
        <v>Manpower</v>
      </c>
      <c r="I265" s="11" t="str">
        <f>_xlfn.XLOOKUP([1]!Table134526_79101120212223242526[[#This Row],[Name Surname]],[1]Manpower!$C$4:$C$1048576,[1]Manpower!$H$4:$H$1048576,"")</f>
        <v>Manpower</v>
      </c>
      <c r="J265" s="13" t="s">
        <v>9</v>
      </c>
      <c r="K265" s="13" t="s">
        <v>7</v>
      </c>
      <c r="L265" s="13" t="s">
        <v>10</v>
      </c>
      <c r="M265" s="13" t="s">
        <v>5</v>
      </c>
      <c r="N265" s="14">
        <v>10</v>
      </c>
      <c r="O265" s="13" t="s">
        <v>6</v>
      </c>
      <c r="P265" s="13" t="s">
        <v>12</v>
      </c>
      <c r="Q265" s="13" t="s">
        <v>29</v>
      </c>
      <c r="R265" s="13" t="s">
        <v>7</v>
      </c>
      <c r="S265" s="15"/>
    </row>
    <row r="266" spans="1:19" x14ac:dyDescent="0.3">
      <c r="A266" s="1" t="e">
        <f>IF(C266="","",MAX($A$2:A265)+1)</f>
        <v>#REF!</v>
      </c>
      <c r="B266" s="10" t="s">
        <v>0</v>
      </c>
      <c r="C266" s="3">
        <v>46092</v>
      </c>
      <c r="D266" s="5" t="str">
        <f>_xlfn.XLOOKUP([1]!Table134526_79101120212223242526[[#This Row],[Name Surname]],[1]Manpower!$C$4:$C$1048576,[1]Manpower!$B$4:$B$1048576,"")</f>
        <v>Encogroup</v>
      </c>
      <c r="E266" s="5" t="s">
        <v>17</v>
      </c>
      <c r="F266" s="4">
        <f>_xlfn.XLOOKUP([1]!Table134526_79101120212223242526[[#This Row],[Name Surname]],[1]Manpower!C:C,[1]Manpower!D:D,)</f>
        <v>140844848</v>
      </c>
      <c r="G266" s="5" t="str">
        <f>_xlfn.XLOOKUP([1]!Table134526_79101120212223242526[[#This Row],[Name Surname]],[1]Manpower!$C$4:$C$1048576,[1]Manpower!$F$4:$F$1048576,"")</f>
        <v>Assistant/Helper</v>
      </c>
      <c r="H266" s="5" t="str">
        <f>_xlfn.XLOOKUP([1]!Table134526_79101120212223242526[[#This Row],[Name Surname]],[1]Manpower!$C$4:$C$1048576,[1]Manpower!$H$4:$H$1048576,"")</f>
        <v>Manpower</v>
      </c>
      <c r="I266" s="3" t="str">
        <f>_xlfn.XLOOKUP([1]!Table134526_79101120212223242526[[#This Row],[Name Surname]],[1]Manpower!$C$4:$C$1048576,[1]Manpower!$H$4:$H$1048576,"")</f>
        <v>Manpower</v>
      </c>
      <c r="J266" s="5" t="s">
        <v>9</v>
      </c>
      <c r="K266" s="5" t="s">
        <v>7</v>
      </c>
      <c r="L266" s="5" t="s">
        <v>10</v>
      </c>
      <c r="M266" s="5" t="s">
        <v>5</v>
      </c>
      <c r="N266" s="6">
        <v>10</v>
      </c>
      <c r="O266" s="5" t="s">
        <v>6</v>
      </c>
      <c r="P266" s="5" t="s">
        <v>12</v>
      </c>
      <c r="Q266" s="5" t="s">
        <v>29</v>
      </c>
      <c r="R266" s="5" t="s">
        <v>7</v>
      </c>
      <c r="S266" s="8"/>
    </row>
    <row r="267" spans="1:19" x14ac:dyDescent="0.3">
      <c r="A267" s="9" t="e">
        <f>IF(C267="","",MAX($A$2:A266)+1)</f>
        <v>#REF!</v>
      </c>
      <c r="B267" s="10" t="s">
        <v>0</v>
      </c>
      <c r="C267" s="11">
        <v>46092</v>
      </c>
      <c r="D267" s="11" t="str">
        <f>_xlfn.XLOOKUP([1]!Table134526_79101120212223242526[[#This Row],[Name Surname]],[1]Manpower!$C$4:$C$1048576,[1]Manpower!$B$4:$B$1048576,"")</f>
        <v>Encogroup</v>
      </c>
      <c r="E267" s="11" t="s">
        <v>20</v>
      </c>
      <c r="F267" s="12">
        <f>_xlfn.XLOOKUP([1]!Table134526_79101120212223242526[[#This Row],[Name Surname]],[1]Manpower!C:C,[1]Manpower!D:D,)</f>
        <v>141359216</v>
      </c>
      <c r="G267" s="11" t="str">
        <f>_xlfn.XLOOKUP([1]!Table134526_79101120212223242526[[#This Row],[Name Surname]],[1]Manpower!$C$4:$C$1048576,[1]Manpower!$F$4:$F$1048576,"")</f>
        <v>Electrician</v>
      </c>
      <c r="H267" s="11" t="str">
        <f>_xlfn.XLOOKUP([1]!Table134526_79101120212223242526[[#This Row],[Name Surname]],[1]Manpower!$C$4:$C$1048576,[1]Manpower!$H$4:$H$1048576,"")</f>
        <v>Manpower</v>
      </c>
      <c r="I267" s="11" t="str">
        <f>_xlfn.XLOOKUP([1]!Table134526_79101120212223242526[[#This Row],[Name Surname]],[1]Manpower!$C$4:$C$1048576,[1]Manpower!$H$4:$H$1048576,"")</f>
        <v>Manpower</v>
      </c>
      <c r="J267" s="13" t="s">
        <v>9</v>
      </c>
      <c r="K267" s="13" t="s">
        <v>7</v>
      </c>
      <c r="L267" s="13" t="s">
        <v>10</v>
      </c>
      <c r="M267" s="13" t="s">
        <v>5</v>
      </c>
      <c r="N267" s="14">
        <v>10</v>
      </c>
      <c r="O267" s="13" t="s">
        <v>6</v>
      </c>
      <c r="P267" s="13" t="s">
        <v>12</v>
      </c>
      <c r="Q267" s="13" t="s">
        <v>12</v>
      </c>
      <c r="R267" s="13" t="s">
        <v>7</v>
      </c>
      <c r="S267" s="15"/>
    </row>
    <row r="268" spans="1:19" x14ac:dyDescent="0.3">
      <c r="A268" s="1" t="e">
        <f>IF(C268="","",MAX($A$2:A267)+1)</f>
        <v>#REF!</v>
      </c>
      <c r="B268" s="16" t="s">
        <v>21</v>
      </c>
      <c r="C268" s="3">
        <v>46092</v>
      </c>
      <c r="D268" s="5" t="str">
        <f>_xlfn.XLOOKUP([1]!Table134526_79101120212223242526[[#This Row],[Name Surname]],[1]Manpower!$C$4:$C$1048576,[1]Manpower!$B$4:$B$1048576,"")</f>
        <v>Encogroup</v>
      </c>
      <c r="E268" s="5" t="s">
        <v>22</v>
      </c>
      <c r="F268" s="4">
        <f>_xlfn.XLOOKUP([1]!Table134526_79101120212223242526[[#This Row],[Name Surname]],[1]Manpower!C:C,[1]Manpower!D:D,)</f>
        <v>140683399</v>
      </c>
      <c r="G268" s="5" t="str">
        <f>_xlfn.XLOOKUP([1]!Table134526_79101120212223242526[[#This Row],[Name Surname]],[1]Manpower!$C$4:$C$1048576,[1]Manpower!$F$4:$F$1048576,"")</f>
        <v>Rigger</v>
      </c>
      <c r="H268" s="5" t="str">
        <f>_xlfn.XLOOKUP([1]!Table134526_79101120212223242526[[#This Row],[Name Surname]],[1]Manpower!$C$4:$C$1048576,[1]Manpower!$H$4:$H$1048576,"")</f>
        <v>Manpower</v>
      </c>
      <c r="I268" s="3" t="str">
        <f>_xlfn.XLOOKUP([1]!Table134526_79101120212223242526[[#This Row],[Name Surname]],[1]Manpower!$C$4:$C$1048576,[1]Manpower!$H$4:$H$1048576,"")</f>
        <v>Manpower</v>
      </c>
      <c r="J268" s="5" t="s">
        <v>23</v>
      </c>
      <c r="K268" s="5" t="s">
        <v>69</v>
      </c>
      <c r="L268" s="5" t="s">
        <v>25</v>
      </c>
      <c r="M268" s="5" t="s">
        <v>5</v>
      </c>
      <c r="N268" s="6">
        <v>10</v>
      </c>
      <c r="O268" s="5" t="s">
        <v>6</v>
      </c>
      <c r="P268" s="5" t="s">
        <v>12</v>
      </c>
      <c r="Q268" s="5" t="s">
        <v>26</v>
      </c>
      <c r="R268" s="5" t="s">
        <v>77</v>
      </c>
      <c r="S268" s="8"/>
    </row>
    <row r="269" spans="1:19" x14ac:dyDescent="0.3">
      <c r="A269" s="9" t="e">
        <f>IF(C269="","",MAX($A$2:A268)+1)</f>
        <v>#REF!</v>
      </c>
      <c r="B269" s="16" t="s">
        <v>21</v>
      </c>
      <c r="C269" s="11">
        <v>46092</v>
      </c>
      <c r="D269" s="13" t="str">
        <f>_xlfn.XLOOKUP([1]!Table134526_79101120212223242526[[#This Row],[Name Surname]],[1]Manpower!$C$4:$C$1048576,[1]Manpower!$B$4:$B$1048576,"")</f>
        <v>Encogroup</v>
      </c>
      <c r="E269" s="13" t="s">
        <v>28</v>
      </c>
      <c r="F269" s="12">
        <f>_xlfn.XLOOKUP([1]!Table134526_79101120212223242526[[#This Row],[Name Surname]],[1]Manpower!C:C,[1]Manpower!D:D,)</f>
        <v>141365164</v>
      </c>
      <c r="G269" s="13" t="str">
        <f>_xlfn.XLOOKUP([1]!Table134526_79101120212223242526[[#This Row],[Name Surname]],[1]Manpower!$C$4:$C$1048576,[1]Manpower!$F$4:$F$1048576,"")</f>
        <v>Helper</v>
      </c>
      <c r="H269" s="13" t="str">
        <f>_xlfn.XLOOKUP([1]!Table134526_79101120212223242526[[#This Row],[Name Surname]],[1]Manpower!$C$4:$C$1048576,[1]Manpower!$H$4:$H$1048576,"")</f>
        <v>Manpower</v>
      </c>
      <c r="I269" s="11" t="str">
        <f>_xlfn.XLOOKUP([1]!Table134526_79101120212223242526[[#This Row],[Name Surname]],[1]Manpower!$C$4:$C$1048576,[1]Manpower!$H$4:$H$1048576,"")</f>
        <v>Manpower</v>
      </c>
      <c r="J269" s="13" t="s">
        <v>23</v>
      </c>
      <c r="K269" s="13" t="s">
        <v>69</v>
      </c>
      <c r="L269" s="13" t="s">
        <v>25</v>
      </c>
      <c r="M269" s="13" t="s">
        <v>5</v>
      </c>
      <c r="N269" s="14">
        <v>10</v>
      </c>
      <c r="O269" s="13" t="s">
        <v>6</v>
      </c>
      <c r="P269" s="13" t="s">
        <v>12</v>
      </c>
      <c r="Q269" s="13" t="s">
        <v>26</v>
      </c>
      <c r="R269" s="13" t="s">
        <v>77</v>
      </c>
      <c r="S269" s="15"/>
    </row>
    <row r="270" spans="1:19" x14ac:dyDescent="0.3">
      <c r="A270" s="1" t="e">
        <f>IF(C270="","",MAX($A$2:A269)+1)</f>
        <v>#REF!</v>
      </c>
      <c r="B270" s="16" t="s">
        <v>21</v>
      </c>
      <c r="C270" s="3">
        <v>46092</v>
      </c>
      <c r="D270" s="5" t="str">
        <f>_xlfn.XLOOKUP([1]!Table134526_79101120212223242526[[#This Row],[Name Surname]],[1]Manpower!$C$4:$C$1048576,[1]Manpower!$B$4:$B$1048576,"")</f>
        <v>Bright Light</v>
      </c>
      <c r="E270" s="5" t="s">
        <v>31</v>
      </c>
      <c r="F270" s="4" t="e">
        <f>_xlfn.XLOOKUP([1]!Table134526_79101120212223242526[[#This Row],[Name Surname]],[1]Manpower!C:C,[1]Manpower!D:D,)</f>
        <v>#N/A</v>
      </c>
      <c r="G270" s="5" t="str">
        <f>_xlfn.XLOOKUP([1]!Table134526_79101120212223242526[[#This Row],[Name Surname]],[1]Manpower!$C$4:$C$1048576,[1]Manpower!$F$4:$F$1048576,"")</f>
        <v>Trailer</v>
      </c>
      <c r="H270" s="5" t="str">
        <f>_xlfn.XLOOKUP([1]!Table134526_79101120212223242526[[#This Row],[Name Surname]],[1]Manpower!$C$4:$C$1048576,[1]Manpower!$H$4:$H$1048576,"")</f>
        <v>Equipment</v>
      </c>
      <c r="I270" s="3" t="str">
        <f>_xlfn.XLOOKUP([1]!Table134526_79101120212223242526[[#This Row],[Name Surname]],[1]Manpower!$C$4:$C$1048576,[1]Manpower!$H$4:$H$1048576,"")</f>
        <v>Equipment</v>
      </c>
      <c r="J270" s="5" t="s">
        <v>23</v>
      </c>
      <c r="K270" s="5" t="s">
        <v>81</v>
      </c>
      <c r="L270" s="5" t="s">
        <v>25</v>
      </c>
      <c r="M270" s="5" t="s">
        <v>5</v>
      </c>
      <c r="N270" s="6">
        <v>5</v>
      </c>
      <c r="O270" s="5" t="s">
        <v>11</v>
      </c>
      <c r="P270" s="5" t="s">
        <v>12</v>
      </c>
      <c r="Q270" s="5" t="s">
        <v>13</v>
      </c>
      <c r="R270" s="5" t="s">
        <v>82</v>
      </c>
      <c r="S270" s="8"/>
    </row>
    <row r="271" spans="1:19" x14ac:dyDescent="0.3">
      <c r="A271" s="9" t="e">
        <f>IF(C271="","",MAX($A$2:A270)+1)</f>
        <v>#REF!</v>
      </c>
      <c r="B271" s="16" t="s">
        <v>21</v>
      </c>
      <c r="C271" s="11">
        <v>46092</v>
      </c>
      <c r="D271" s="13" t="str">
        <f>_xlfn.XLOOKUP([1]!Table134526_79101120212223242526[[#This Row],[Name Surname]],[1]Manpower!$C$4:$C$1048576,[1]Manpower!$B$4:$B$1048576,"")</f>
        <v>Encogroup</v>
      </c>
      <c r="E271" s="11" t="s">
        <v>32</v>
      </c>
      <c r="F271" s="12">
        <f>_xlfn.XLOOKUP([1]!Table134526_79101120212223242526[[#This Row],[Name Surname]],[1]Manpower!C:C,[1]Manpower!D:D,)</f>
        <v>140477664</v>
      </c>
      <c r="G271" s="13" t="str">
        <f>_xlfn.XLOOKUP([1]!Table134526_79101120212223242526[[#This Row],[Name Surname]],[1]Manpower!$C$4:$C$1048576,[1]Manpower!$F$4:$F$1048576,"")</f>
        <v>Junior HSE Officer</v>
      </c>
      <c r="H271" s="13" t="str">
        <f>_xlfn.XLOOKUP([1]!Table134526_79101120212223242526[[#This Row],[Name Surname]],[1]Manpower!$C$4:$C$1048576,[1]Manpower!$H$4:$H$1048576,"")</f>
        <v>Manpower</v>
      </c>
      <c r="I271" s="11" t="str">
        <f>_xlfn.XLOOKUP([1]!Table134526_79101120212223242526[[#This Row],[Name Surname]],[1]Manpower!$C$4:$C$1048576,[1]Manpower!$H$4:$H$1048576,"")</f>
        <v>Manpower</v>
      </c>
      <c r="J271" s="13" t="s">
        <v>23</v>
      </c>
      <c r="K271" s="13" t="s">
        <v>83</v>
      </c>
      <c r="L271" s="13" t="s">
        <v>25</v>
      </c>
      <c r="M271" s="13" t="s">
        <v>5</v>
      </c>
      <c r="N271" s="14">
        <v>10</v>
      </c>
      <c r="O271" s="13" t="s">
        <v>33</v>
      </c>
      <c r="P271" s="13" t="s">
        <v>33</v>
      </c>
      <c r="Q271" s="13" t="s">
        <v>33</v>
      </c>
      <c r="R271" s="13" t="s">
        <v>7</v>
      </c>
      <c r="S271" s="15"/>
    </row>
    <row r="272" spans="1:19" x14ac:dyDescent="0.3">
      <c r="A272" s="1" t="e">
        <f>IF(C272="","",MAX($A$2:A270)+1)</f>
        <v>#REF!</v>
      </c>
      <c r="B272" s="16" t="s">
        <v>21</v>
      </c>
      <c r="C272" s="3">
        <v>46092</v>
      </c>
      <c r="D272" s="5" t="str">
        <f>_xlfn.XLOOKUP([1]!Table134526_79101120212223242526[[#This Row],[Name Surname]],[1]Manpower!$C$4:$C$1048576,[1]Manpower!$B$4:$B$1048576,"")</f>
        <v>AL Omar International TRAD AND CONT</v>
      </c>
      <c r="E272" s="3" t="s">
        <v>34</v>
      </c>
      <c r="F272" s="4">
        <f>_xlfn.XLOOKUP([1]!Table134526_79101120212223242526[[#This Row],[Name Surname]],[1]Manpower!C:C,[1]Manpower!D:D,)</f>
        <v>116676257</v>
      </c>
      <c r="G272" s="5" t="str">
        <f>_xlfn.XLOOKUP([1]!Table134526_79101120212223242526[[#This Row],[Name Surname]],[1]Manpower!$C$4:$C$1048576,[1]Manpower!$F$4:$F$1048576,"")</f>
        <v>Scaffolder</v>
      </c>
      <c r="H272" s="5" t="str">
        <f>_xlfn.XLOOKUP([1]!Table134526_79101120212223242526[[#This Row],[Name Surname]],[1]Manpower!$C$4:$C$1048576,[1]Manpower!$H$4:$H$1048576,"")</f>
        <v>Sub Contactor</v>
      </c>
      <c r="I272" s="3" t="str">
        <f>_xlfn.XLOOKUP([1]!Table134526_79101120212223242526[[#This Row],[Name Surname]],[1]Manpower!$C$4:$C$1048576,[1]Manpower!$H$4:$H$1048576,"")</f>
        <v>Sub Contactor</v>
      </c>
      <c r="J272" s="5" t="s">
        <v>23</v>
      </c>
      <c r="K272" s="5" t="s">
        <v>83</v>
      </c>
      <c r="L272" s="5" t="s">
        <v>25</v>
      </c>
      <c r="M272" s="5" t="s">
        <v>5</v>
      </c>
      <c r="N272" s="6">
        <v>10</v>
      </c>
      <c r="O272" s="5" t="s">
        <v>35</v>
      </c>
      <c r="P272" s="5" t="s">
        <v>35</v>
      </c>
      <c r="Q272" s="5" t="s">
        <v>35</v>
      </c>
      <c r="R272" s="5" t="s">
        <v>7</v>
      </c>
      <c r="S272" s="8"/>
    </row>
    <row r="273" spans="1:19" x14ac:dyDescent="0.3">
      <c r="A273" s="9" t="e">
        <f>IF(C273="","",MAX($A$2:A272)+1)</f>
        <v>#REF!</v>
      </c>
      <c r="B273" s="17" t="s">
        <v>36</v>
      </c>
      <c r="C273" s="11">
        <v>46092</v>
      </c>
      <c r="D273" s="13" t="str">
        <f>_xlfn.XLOOKUP([1]!Table134526_79101120212223242526[[#This Row],[Name Surname]],[1]Manpower!$C$4:$C$1048576,[1]Manpower!$B$4:$B$1048576,"")</f>
        <v>Encogroup</v>
      </c>
      <c r="E273" s="13" t="s">
        <v>37</v>
      </c>
      <c r="F273" s="12">
        <f>_xlfn.XLOOKUP([1]!Table134526_79101120212223242526[[#This Row],[Name Surname]],[1]Manpower!C:C,[1]Manpower!D:D,)</f>
        <v>140846698</v>
      </c>
      <c r="G273" s="13" t="str">
        <f>_xlfn.XLOOKUP([1]!Table134526_79101120212223242526[[#This Row],[Name Surname]],[1]Manpower!$C$4:$C$1048576,[1]Manpower!$F$4:$F$1048576,"")</f>
        <v>Assistant/Helper</v>
      </c>
      <c r="H273" s="13" t="str">
        <f>_xlfn.XLOOKUP([1]!Table134526_79101120212223242526[[#This Row],[Name Surname]],[1]Manpower!$C$4:$C$1048576,[1]Manpower!$H$4:$H$1048576,"")</f>
        <v>Manpower</v>
      </c>
      <c r="I273" s="11" t="str">
        <f>_xlfn.XLOOKUP([1]!Table134526_79101120212223242526[[#This Row],[Name Surname]],[1]Manpower!$C$4:$C$1048576,[1]Manpower!$H$4:$H$1048576,"")</f>
        <v>Manpower</v>
      </c>
      <c r="J273" s="13" t="s">
        <v>38</v>
      </c>
      <c r="K273" s="13" t="s">
        <v>7</v>
      </c>
      <c r="L273" s="13" t="s">
        <v>39</v>
      </c>
      <c r="M273" s="13" t="s">
        <v>5</v>
      </c>
      <c r="N273" s="14">
        <v>10</v>
      </c>
      <c r="O273" s="13" t="s">
        <v>33</v>
      </c>
      <c r="P273" s="13" t="s">
        <v>33</v>
      </c>
      <c r="Q273" s="13" t="s">
        <v>33</v>
      </c>
      <c r="R273" s="13" t="s">
        <v>7</v>
      </c>
      <c r="S273" s="15"/>
    </row>
    <row r="274" spans="1:19" x14ac:dyDescent="0.3">
      <c r="A274" s="1" t="e">
        <f>IF(C274="","",MAX($A$2:A273)+1)</f>
        <v>#REF!</v>
      </c>
      <c r="B274" s="17" t="s">
        <v>36</v>
      </c>
      <c r="C274" s="3">
        <v>46092</v>
      </c>
      <c r="D274" s="5" t="str">
        <f>_xlfn.XLOOKUP([1]!Table134526_79101120212223242526[[#This Row],[Name Surname]],[1]Manpower!$C$4:$C$1048576,[1]Manpower!$B$4:$B$1048576,"")</f>
        <v>SARENS NASS</v>
      </c>
      <c r="E274" s="5" t="s">
        <v>40</v>
      </c>
      <c r="F274" s="4">
        <f>_xlfn.XLOOKUP([1]!Table134526_79101120212223242526[[#This Row],[Name Surname]],[1]Manpower!C:C,[1]Manpower!D:D,)</f>
        <v>109957631</v>
      </c>
      <c r="G274" s="5" t="str">
        <f>_xlfn.XLOOKUP([1]!Table134526_79101120212223242526[[#This Row],[Name Surname]],[1]Manpower!$C$4:$C$1048576,[1]Manpower!$F$4:$F$1048576,"")</f>
        <v>Crane Operator-130T Liebherr Crawler</v>
      </c>
      <c r="H274" s="5" t="str">
        <f>_xlfn.XLOOKUP([1]!Table134526_79101120212223242526[[#This Row],[Name Surname]],[1]Manpower!$C$4:$C$1048576,[1]Manpower!$H$4:$H$1048576,"")</f>
        <v>Manpower</v>
      </c>
      <c r="I274" s="3" t="str">
        <f>_xlfn.XLOOKUP([1]!Table134526_79101120212223242526[[#This Row],[Name Surname]],[1]Manpower!$C$4:$C$1048576,[1]Manpower!$H$4:$H$1048576,"")</f>
        <v>Manpower</v>
      </c>
      <c r="J274" s="5" t="s">
        <v>38</v>
      </c>
      <c r="K274" s="5" t="s">
        <v>7</v>
      </c>
      <c r="L274" s="5" t="s">
        <v>39</v>
      </c>
      <c r="M274" s="5" t="s">
        <v>5</v>
      </c>
      <c r="N274" s="6">
        <v>10</v>
      </c>
      <c r="O274" s="5" t="s">
        <v>33</v>
      </c>
      <c r="P274" s="5" t="s">
        <v>33</v>
      </c>
      <c r="Q274" s="5" t="s">
        <v>33</v>
      </c>
      <c r="R274" s="5" t="s">
        <v>7</v>
      </c>
      <c r="S274" s="8"/>
    </row>
    <row r="275" spans="1:19" x14ac:dyDescent="0.3">
      <c r="A275" s="9" t="e">
        <f>IF(C275="","",MAX($A$2:A273)+1)</f>
        <v>#REF!</v>
      </c>
      <c r="B275" s="17" t="s">
        <v>36</v>
      </c>
      <c r="C275" s="11">
        <v>46092</v>
      </c>
      <c r="D275" s="13" t="str">
        <f>_xlfn.XLOOKUP([1]!Table134526_79101120212223242526[[#This Row],[Name Surname]],[1]Manpower!$C$4:$C$1048576,[1]Manpower!$B$4:$B$1048576,"")</f>
        <v>Encogroup</v>
      </c>
      <c r="E275" s="13" t="s">
        <v>41</v>
      </c>
      <c r="F275" s="12">
        <f>_xlfn.XLOOKUP([1]!Table134526_79101120212223242526[[#This Row],[Name Surname]],[1]Manpower!C:C,[1]Manpower!D:D,)</f>
        <v>140742177</v>
      </c>
      <c r="G275" s="13" t="str">
        <f>_xlfn.XLOOKUP([1]!Table134526_79101120212223242526[[#This Row],[Name Surname]],[1]Manpower!$C$4:$C$1048576,[1]Manpower!$F$4:$F$1048576,"")</f>
        <v>Grinder</v>
      </c>
      <c r="H275" s="13" t="str">
        <f>_xlfn.XLOOKUP([1]!Table134526_79101120212223242526[[#This Row],[Name Surname]],[1]Manpower!$C$4:$C$1048576,[1]Manpower!$H$4:$H$1048576,"")</f>
        <v>Manpower</v>
      </c>
      <c r="I275" s="11" t="str">
        <f>_xlfn.XLOOKUP([1]!Table134526_79101120212223242526[[#This Row],[Name Surname]],[1]Manpower!$C$4:$C$1048576,[1]Manpower!$H$4:$H$1048576,"")</f>
        <v>Manpower</v>
      </c>
      <c r="J275" s="13" t="s">
        <v>38</v>
      </c>
      <c r="K275" s="13" t="s">
        <v>7</v>
      </c>
      <c r="L275" s="13" t="s">
        <v>39</v>
      </c>
      <c r="M275" s="13" t="s">
        <v>18</v>
      </c>
      <c r="N275" s="14">
        <v>10</v>
      </c>
      <c r="O275" s="13"/>
      <c r="P275" s="13"/>
      <c r="Q275" s="13"/>
      <c r="R275" s="13" t="s">
        <v>84</v>
      </c>
      <c r="S275" s="15"/>
    </row>
    <row r="276" spans="1:19" x14ac:dyDescent="0.3">
      <c r="A276" s="1" t="e">
        <f>IF(C276="","",MAX($A$2:A275)+1)</f>
        <v>#REF!</v>
      </c>
      <c r="B276" s="17" t="s">
        <v>36</v>
      </c>
      <c r="C276" s="3">
        <v>46092</v>
      </c>
      <c r="D276" s="5" t="str">
        <f>_xlfn.XLOOKUP([1]!Table134526_79101120212223242526[[#This Row],[Name Surname]],[1]Manpower!$C$4:$C$1048576,[1]Manpower!$B$4:$B$1048576,"")</f>
        <v>Encogroup</v>
      </c>
      <c r="E276" s="5" t="s">
        <v>43</v>
      </c>
      <c r="F276" s="4">
        <f>_xlfn.XLOOKUP([1]!Table134526_79101120212223242526[[#This Row],[Name Surname]],[1]Manpower!C:C,[1]Manpower!D:D,)</f>
        <v>116853914</v>
      </c>
      <c r="G276" s="5" t="str">
        <f>_xlfn.XLOOKUP([1]!Table134526_79101120212223242526[[#This Row],[Name Surname]],[1]Manpower!$C$4:$C$1048576,[1]Manpower!$F$4:$F$1048576,"")</f>
        <v>Electrical Supervisor</v>
      </c>
      <c r="H276" s="5" t="str">
        <f>_xlfn.XLOOKUP([1]!Table134526_79101120212223242526[[#This Row],[Name Surname]],[1]Manpower!$C$4:$C$1048576,[1]Manpower!$H$4:$H$1048576,"")</f>
        <v>Manpower</v>
      </c>
      <c r="I276" s="3" t="str">
        <f>_xlfn.XLOOKUP([1]!Table134526_79101120212223242526[[#This Row],[Name Surname]],[1]Manpower!$C$4:$C$1048576,[1]Manpower!$H$4:$H$1048576,"")</f>
        <v>Manpower</v>
      </c>
      <c r="J276" s="5" t="s">
        <v>38</v>
      </c>
      <c r="K276" s="5" t="s">
        <v>7</v>
      </c>
      <c r="L276" s="5" t="s">
        <v>39</v>
      </c>
      <c r="M276" s="5" t="s">
        <v>5</v>
      </c>
      <c r="N276" s="6">
        <v>10</v>
      </c>
      <c r="O276" s="22" t="s">
        <v>11</v>
      </c>
      <c r="P276" s="22" t="s">
        <v>13</v>
      </c>
      <c r="Q276" s="22" t="s">
        <v>13</v>
      </c>
      <c r="R276" s="22" t="s">
        <v>85</v>
      </c>
      <c r="S276" s="8"/>
    </row>
    <row r="277" spans="1:19" x14ac:dyDescent="0.3">
      <c r="A277" s="9" t="e">
        <f>IF(C277="","",MAX($A$2:A276)+1)</f>
        <v>#REF!</v>
      </c>
      <c r="B277" s="17" t="s">
        <v>36</v>
      </c>
      <c r="C277" s="11">
        <v>46092</v>
      </c>
      <c r="D277" s="13" t="str">
        <f>_xlfn.XLOOKUP([1]!Table134526_79101120212223242526[[#This Row],[Name Surname]],[1]Manpower!$C$4:$C$1048576,[1]Manpower!$B$4:$B$1048576,"")</f>
        <v>Encogroup</v>
      </c>
      <c r="E277" s="13" t="s">
        <v>1</v>
      </c>
      <c r="F277" s="12" t="e">
        <f>_xlfn.XLOOKUP([1]!Table134526_79101120212223242526[[#This Row],[Name Surname]],[1]Manpower!C:C,[1]Manpower!D:D,)</f>
        <v>#N/A</v>
      </c>
      <c r="G277" s="13" t="str">
        <f>_xlfn.XLOOKUP([1]!Table134526_79101120212223242526[[#This Row],[Name Surname]],[1]Manpower!$C$4:$C$1048576,[1]Manpower!$F$4:$F$1048576,"")</f>
        <v>TOWER LIGHT</v>
      </c>
      <c r="H277" s="13" t="str">
        <f>_xlfn.XLOOKUP([1]!Table134526_79101120212223242526[[#This Row],[Name Surname]],[1]Manpower!$C$4:$C$1048576,[1]Manpower!$H$4:$H$1048576,"")</f>
        <v>Equipment</v>
      </c>
      <c r="I277" s="11" t="str">
        <f>_xlfn.XLOOKUP([1]!Table134526_79101120212223242526[[#This Row],[Name Surname]],[1]Manpower!$C$4:$C$1048576,[1]Manpower!$H$4:$H$1048576,"")</f>
        <v>Equipment</v>
      </c>
      <c r="J277" s="13" t="s">
        <v>38</v>
      </c>
      <c r="K277" s="13" t="s">
        <v>7</v>
      </c>
      <c r="L277" s="13" t="s">
        <v>39</v>
      </c>
      <c r="M277" s="13" t="s">
        <v>5</v>
      </c>
      <c r="N277" s="14">
        <v>8</v>
      </c>
      <c r="O277" s="22" t="s">
        <v>11</v>
      </c>
      <c r="P277" s="22" t="s">
        <v>13</v>
      </c>
      <c r="Q277" s="22" t="s">
        <v>13</v>
      </c>
      <c r="R277" s="22" t="s">
        <v>85</v>
      </c>
      <c r="S277" s="15"/>
    </row>
    <row r="278" spans="1:19" x14ac:dyDescent="0.3">
      <c r="A278" s="1" t="e">
        <f>IF(C278="","",MAX($A$2:A277)+1)</f>
        <v>#REF!</v>
      </c>
      <c r="B278" s="17" t="s">
        <v>36</v>
      </c>
      <c r="C278" s="3">
        <v>46092</v>
      </c>
      <c r="D278" s="5" t="str">
        <f>_xlfn.XLOOKUP([1]!Table134526_79101120212223242526[[#This Row],[Name Surname]],[1]Manpower!$C$4:$C$1048576,[1]Manpower!$B$4:$B$1048576,"")</f>
        <v>Encogroup</v>
      </c>
      <c r="E278" s="5" t="s">
        <v>31</v>
      </c>
      <c r="F278" s="4" t="e">
        <f>_xlfn.XLOOKUP([1]!Table134526_79101120212223242526[[#This Row],[Name Surname]],[1]Manpower!C:C,[1]Manpower!D:D,)</f>
        <v>#N/A</v>
      </c>
      <c r="G278" s="5" t="str">
        <f>_xlfn.XLOOKUP([1]!Table134526_79101120212223242526[[#This Row],[Name Surname]],[1]Manpower!$C$4:$C$1048576,[1]Manpower!$F$4:$F$1048576,"")</f>
        <v>TOWER LIGHT</v>
      </c>
      <c r="H278" s="5" t="str">
        <f>_xlfn.XLOOKUP([1]!Table134526_79101120212223242526[[#This Row],[Name Surname]],[1]Manpower!$C$4:$C$1048576,[1]Manpower!$H$4:$H$1048576,"")</f>
        <v>Equipment</v>
      </c>
      <c r="I278" s="3" t="str">
        <f>_xlfn.XLOOKUP([1]!Table134526_79101120212223242526[[#This Row],[Name Surname]],[1]Manpower!$C$4:$C$1048576,[1]Manpower!$H$4:$H$1048576,"")</f>
        <v>Equipment</v>
      </c>
      <c r="J278" s="5" t="s">
        <v>38</v>
      </c>
      <c r="K278" s="5" t="s">
        <v>7</v>
      </c>
      <c r="L278" s="5" t="s">
        <v>39</v>
      </c>
      <c r="M278" s="5" t="s">
        <v>5</v>
      </c>
      <c r="N278" s="6">
        <v>5</v>
      </c>
      <c r="O278" s="22" t="s">
        <v>11</v>
      </c>
      <c r="P278" s="22" t="s">
        <v>13</v>
      </c>
      <c r="Q278" s="22" t="s">
        <v>13</v>
      </c>
      <c r="R278" s="22" t="s">
        <v>85</v>
      </c>
      <c r="S278" s="8"/>
    </row>
    <row r="279" spans="1:19" x14ac:dyDescent="0.3">
      <c r="A279" s="9" t="e">
        <f>IF(C279="","",MAX($A$2:A276)+1)</f>
        <v>#REF!</v>
      </c>
      <c r="B279" s="23" t="s">
        <v>36</v>
      </c>
      <c r="C279" s="11">
        <v>46092</v>
      </c>
      <c r="D279" s="13" t="str">
        <f>_xlfn.XLOOKUP([1]!Table134526_79101120212223242526[[#This Row],[Name Surname]],[1]Manpower!$C$4:$C$1048576,[1]Manpower!$B$4:$B$1048576,"")</f>
        <v>AL Omar International Tarde&amp;Contracting SPC</v>
      </c>
      <c r="E279" s="13" t="s">
        <v>45</v>
      </c>
      <c r="F279" s="12">
        <f>_xlfn.XLOOKUP([1]!Table134526_79101120212223242526[[#This Row],[Name Surname]],[1]Manpower!C:C,[1]Manpower!D:D,)</f>
        <v>115122635</v>
      </c>
      <c r="G279" s="13" t="str">
        <f>_xlfn.XLOOKUP([1]!Table134526_79101120212223242526[[#This Row],[Name Surname]],[1]Manpower!$C$4:$C$1048576,[1]Manpower!$F$4:$F$1048576,"")</f>
        <v>Scaffolder</v>
      </c>
      <c r="H279" s="13" t="str">
        <f>_xlfn.XLOOKUP([1]!Table134526_79101120212223242526[[#This Row],[Name Surname]],[1]Manpower!$C$4:$C$1048576,[1]Manpower!$H$4:$H$1048576,"")</f>
        <v>Sub Contactor</v>
      </c>
      <c r="I279" s="11" t="str">
        <f>_xlfn.XLOOKUP([1]!Table134526_79101120212223242526[[#This Row],[Name Surname]],[1]Manpower!$C$4:$C$1048576,[1]Manpower!$H$4:$H$1048576,"")</f>
        <v>Sub Contactor</v>
      </c>
      <c r="J279" s="13" t="s">
        <v>38</v>
      </c>
      <c r="K279" s="13" t="s">
        <v>7</v>
      </c>
      <c r="L279" s="13" t="s">
        <v>39</v>
      </c>
      <c r="M279" s="13" t="s">
        <v>5</v>
      </c>
      <c r="N279" s="14">
        <v>10</v>
      </c>
      <c r="O279" s="13" t="s">
        <v>11</v>
      </c>
      <c r="P279" s="13" t="s">
        <v>13</v>
      </c>
      <c r="Q279" s="13" t="s">
        <v>13</v>
      </c>
      <c r="R279" s="13" t="s">
        <v>85</v>
      </c>
      <c r="S279" s="15"/>
    </row>
    <row r="280" spans="1:19" x14ac:dyDescent="0.3">
      <c r="A280" s="1" t="e">
        <f>IF(C280="","",MAX($A$2:A279)+1)</f>
        <v>#REF!</v>
      </c>
      <c r="B280" s="17" t="s">
        <v>36</v>
      </c>
      <c r="C280" s="3">
        <v>46092</v>
      </c>
      <c r="D280" s="5" t="str">
        <f>_xlfn.XLOOKUP([1]!Table134526_79101120212223242526[[#This Row],[Name Surname]],[1]Manpower!$C$4:$C$1048576,[1]Manpower!$B$4:$B$1048576,"")</f>
        <v>Encogroup</v>
      </c>
      <c r="E280" s="5" t="s">
        <v>46</v>
      </c>
      <c r="F280" s="4">
        <f>_xlfn.XLOOKUP([1]!Table134526_79101120212223242526[[#This Row],[Name Surname]],[1]Manpower!C:C,[1]Manpower!D:D,)</f>
        <v>137114773</v>
      </c>
      <c r="G280" s="5" t="str">
        <f>_xlfn.XLOOKUP([1]!Table134526_79101120212223242526[[#This Row],[Name Surname]],[1]Manpower!$C$4:$C$1048576,[1]Manpower!$F$4:$F$1048576,"")</f>
        <v>Rigger</v>
      </c>
      <c r="H280" s="5" t="str">
        <f>_xlfn.XLOOKUP([1]!Table134526_79101120212223242526[[#This Row],[Name Surname]],[1]Manpower!$C$4:$C$1048576,[1]Manpower!$H$4:$H$1048576,"")</f>
        <v>Manpower</v>
      </c>
      <c r="I280" s="3" t="str">
        <f>_xlfn.XLOOKUP([1]!Table134526_79101120212223242526[[#This Row],[Name Surname]],[1]Manpower!$C$4:$C$1048576,[1]Manpower!$H$4:$H$1048576,"")</f>
        <v>Manpower</v>
      </c>
      <c r="J280" s="5" t="s">
        <v>38</v>
      </c>
      <c r="K280" s="5" t="s">
        <v>7</v>
      </c>
      <c r="L280" s="5" t="s">
        <v>39</v>
      </c>
      <c r="M280" s="5" t="s">
        <v>18</v>
      </c>
      <c r="N280" s="6">
        <v>8</v>
      </c>
      <c r="O280" s="5"/>
      <c r="P280" s="5"/>
      <c r="Q280" s="5"/>
      <c r="R280" s="5" t="s">
        <v>68</v>
      </c>
      <c r="S280" s="8"/>
    </row>
    <row r="281" spans="1:19" x14ac:dyDescent="0.3">
      <c r="A281" s="9" t="e">
        <f>IF(C281="","",MAX($A$2:A280)+1)</f>
        <v>#REF!</v>
      </c>
      <c r="B281" s="17" t="s">
        <v>36</v>
      </c>
      <c r="C281" s="11">
        <v>46092</v>
      </c>
      <c r="D281" s="13" t="str">
        <f>_xlfn.XLOOKUP([1]!Table134526_79101120212223242526[[#This Row],[Name Surname]],[1]Manpower!$C$4:$C$1048576,[1]Manpower!$B$4:$B$1048576,"")</f>
        <v>Encogroup</v>
      </c>
      <c r="E281" s="13" t="s">
        <v>48</v>
      </c>
      <c r="F281" s="12">
        <f>_xlfn.XLOOKUP([1]!Table134526_79101120212223242526[[#This Row],[Name Surname]],[1]Manpower!C:C,[1]Manpower!D:D,)</f>
        <v>122082863</v>
      </c>
      <c r="G281" s="13" t="str">
        <f>_xlfn.XLOOKUP([1]!Table134526_79101120212223242526[[#This Row],[Name Surname]],[1]Manpower!$C$4:$C$1048576,[1]Manpower!$F$4:$F$1048576,"")</f>
        <v>Grinder</v>
      </c>
      <c r="H281" s="13" t="str">
        <f>_xlfn.XLOOKUP([1]!Table134526_79101120212223242526[[#This Row],[Name Surname]],[1]Manpower!$C$4:$C$1048576,[1]Manpower!$H$4:$H$1048576,"")</f>
        <v>Manpower</v>
      </c>
      <c r="I281" s="11" t="str">
        <f>_xlfn.XLOOKUP([1]!Table134526_79101120212223242526[[#This Row],[Name Surname]],[1]Manpower!$C$4:$C$1048576,[1]Manpower!$H$4:$H$1048576,"")</f>
        <v>Manpower</v>
      </c>
      <c r="J281" s="13" t="s">
        <v>38</v>
      </c>
      <c r="K281" s="13" t="s">
        <v>7</v>
      </c>
      <c r="L281" s="13" t="s">
        <v>39</v>
      </c>
      <c r="M281" s="13" t="s">
        <v>5</v>
      </c>
      <c r="N281" s="14">
        <v>10</v>
      </c>
      <c r="O281" s="13" t="s">
        <v>33</v>
      </c>
      <c r="P281" s="13" t="s">
        <v>33</v>
      </c>
      <c r="Q281" s="13" t="s">
        <v>33</v>
      </c>
      <c r="R281" s="13" t="s">
        <v>7</v>
      </c>
      <c r="S281" s="15"/>
    </row>
    <row r="282" spans="1:19" x14ac:dyDescent="0.3">
      <c r="A282" s="1" t="e">
        <f>IF(C282="","",MAX($A$2:A281)+1)</f>
        <v>#REF!</v>
      </c>
      <c r="B282" s="17" t="s">
        <v>36</v>
      </c>
      <c r="C282" s="3">
        <v>46092</v>
      </c>
      <c r="D282" s="5" t="str">
        <f>_xlfn.XLOOKUP([1]!Table134526_79101120212223242526[[#This Row],[Name Surname]],[1]Manpower!$C$4:$C$1048576,[1]Manpower!$B$4:$B$1048576,"")</f>
        <v>Encogroup</v>
      </c>
      <c r="E282" s="5" t="s">
        <v>49</v>
      </c>
      <c r="F282" s="4">
        <f>_xlfn.XLOOKUP([1]!Table134526_79101120212223242526[[#This Row],[Name Surname]],[1]Manpower!C:C,[1]Manpower!D:D,)</f>
        <v>140696989</v>
      </c>
      <c r="G282" s="5" t="str">
        <f>_xlfn.XLOOKUP([1]!Table134526_79101120212223242526[[#This Row],[Name Surname]],[1]Manpower!$C$4:$C$1048576,[1]Manpower!$F$4:$F$1048576,"")</f>
        <v>Assistant/Helper</v>
      </c>
      <c r="H282" s="5" t="str">
        <f>_xlfn.XLOOKUP([1]!Table134526_79101120212223242526[[#This Row],[Name Surname]],[1]Manpower!$C$4:$C$1048576,[1]Manpower!$H$4:$H$1048576,"")</f>
        <v>Manpower</v>
      </c>
      <c r="I282" s="3" t="str">
        <f>_xlfn.XLOOKUP([1]!Table134526_79101120212223242526[[#This Row],[Name Surname]],[1]Manpower!$C$4:$C$1048576,[1]Manpower!$H$4:$H$1048576,"")</f>
        <v>Manpower</v>
      </c>
      <c r="J282" s="5" t="s">
        <v>38</v>
      </c>
      <c r="K282" s="5" t="s">
        <v>7</v>
      </c>
      <c r="L282" s="5" t="s">
        <v>39</v>
      </c>
      <c r="M282" s="5" t="s">
        <v>5</v>
      </c>
      <c r="N282" s="6">
        <v>10</v>
      </c>
      <c r="O282" s="5" t="s">
        <v>33</v>
      </c>
      <c r="P282" s="5" t="s">
        <v>33</v>
      </c>
      <c r="Q282" s="5" t="s">
        <v>33</v>
      </c>
      <c r="R282" s="5" t="s">
        <v>7</v>
      </c>
      <c r="S282" s="8"/>
    </row>
    <row r="283" spans="1:19" x14ac:dyDescent="0.3">
      <c r="A283" s="9" t="e">
        <f>IF(C283="","",MAX($A$2:A282)+1)</f>
        <v>#REF!</v>
      </c>
      <c r="B283" s="17" t="s">
        <v>36</v>
      </c>
      <c r="C283" s="11">
        <v>46092</v>
      </c>
      <c r="D283" s="13" t="str">
        <f>_xlfn.XLOOKUP([1]!Table134526_79101120212223242526[[#This Row],[Name Surname]],[1]Manpower!$C$4:$C$1048576,[1]Manpower!$B$4:$B$1048576,"")</f>
        <v>Encogroup</v>
      </c>
      <c r="E283" s="13" t="s">
        <v>50</v>
      </c>
      <c r="F283" s="12">
        <f>_xlfn.XLOOKUP([1]!Table134526_79101120212223242526[[#This Row],[Name Surname]],[1]Manpower!C:C,[1]Manpower!D:D,)</f>
        <v>141365094</v>
      </c>
      <c r="G283" s="13" t="str">
        <f>_xlfn.XLOOKUP([1]!Table134526_79101120212223242526[[#This Row],[Name Surname]],[1]Manpower!$C$4:$C$1048576,[1]Manpower!$F$4:$F$1048576,"")</f>
        <v>Helper</v>
      </c>
      <c r="H283" s="13" t="str">
        <f>_xlfn.XLOOKUP([1]!Table134526_79101120212223242526[[#This Row],[Name Surname]],[1]Manpower!$C$4:$C$1048576,[1]Manpower!$H$4:$H$1048576,"")</f>
        <v>Manpower</v>
      </c>
      <c r="I283" s="11" t="str">
        <f>_xlfn.XLOOKUP([1]!Table134526_79101120212223242526[[#This Row],[Name Surname]],[1]Manpower!$C$4:$C$1048576,[1]Manpower!$H$4:$H$1048576,"")</f>
        <v>Manpower</v>
      </c>
      <c r="J283" s="13" t="s">
        <v>38</v>
      </c>
      <c r="K283" s="13" t="s">
        <v>7</v>
      </c>
      <c r="L283" s="13" t="s">
        <v>39</v>
      </c>
      <c r="M283" s="13" t="s">
        <v>5</v>
      </c>
      <c r="N283" s="14">
        <v>10</v>
      </c>
      <c r="O283" s="13"/>
      <c r="P283" s="13"/>
      <c r="Q283" s="13"/>
      <c r="R283" s="13" t="s">
        <v>7</v>
      </c>
      <c r="S283" s="15"/>
    </row>
    <row r="284" spans="1:19" x14ac:dyDescent="0.3">
      <c r="A284" s="1" t="e">
        <f>IF(C284="","",MAX($A$2:A283)+1)</f>
        <v>#REF!</v>
      </c>
      <c r="B284" s="17" t="s">
        <v>36</v>
      </c>
      <c r="C284" s="3">
        <v>46092</v>
      </c>
      <c r="D284" s="5" t="str">
        <f>_xlfn.XLOOKUP([1]!Table134526_79101120212223242526[[#This Row],[Name Surname]],[1]Manpower!$C$4:$C$1048576,[1]Manpower!$B$4:$B$1048576,"")</f>
        <v xml:space="preserve">FAL Transport </v>
      </c>
      <c r="E284" s="3" t="s">
        <v>51</v>
      </c>
      <c r="F284" s="4">
        <f>_xlfn.XLOOKUP([1]!Table134526_79101120212223242526[[#This Row],[Name Surname]],[1]Manpower!C:C,[1]Manpower!D:D,)</f>
        <v>124233837</v>
      </c>
      <c r="G284" s="5" t="str">
        <f>_xlfn.XLOOKUP([1]!Table134526_79101120212223242526[[#This Row],[Name Surname]],[1]Manpower!$C$4:$C$1048576,[1]Manpower!$F$4:$F$1048576,"")</f>
        <v>Trailer Driver</v>
      </c>
      <c r="H284" s="5" t="str">
        <f>_xlfn.XLOOKUP([1]!Table134526_79101120212223242526[[#This Row],[Name Surname]],[1]Manpower!$C$4:$C$1048576,[1]Manpower!$H$4:$H$1048576,"")</f>
        <v>Sub Contactor</v>
      </c>
      <c r="I284" s="3" t="str">
        <f>_xlfn.XLOOKUP([1]!Table134526_79101120212223242526[[#This Row],[Name Surname]],[1]Manpower!$C$4:$C$1048576,[1]Manpower!$H$4:$H$1048576,"")</f>
        <v>Sub Contactor</v>
      </c>
      <c r="J284" s="5" t="s">
        <v>38</v>
      </c>
      <c r="K284" s="5" t="s">
        <v>7</v>
      </c>
      <c r="L284" s="5" t="s">
        <v>39</v>
      </c>
      <c r="M284" s="5" t="s">
        <v>18</v>
      </c>
      <c r="N284" s="6">
        <v>10</v>
      </c>
      <c r="O284" s="5"/>
      <c r="P284" s="5"/>
      <c r="Q284" s="5"/>
      <c r="R284" s="5" t="s">
        <v>19</v>
      </c>
      <c r="S284" s="8"/>
    </row>
    <row r="285" spans="1:19" x14ac:dyDescent="0.3">
      <c r="A285" s="9" t="e">
        <f>IF(C285="","",MAX($A$2:A284)+1)</f>
        <v>#REF!</v>
      </c>
      <c r="B285" s="17" t="s">
        <v>36</v>
      </c>
      <c r="C285" s="11">
        <v>46092</v>
      </c>
      <c r="D285" s="13" t="str">
        <f>_xlfn.XLOOKUP([1]!Table134526_79101120212223242526[[#This Row],[Name Surname]],[1]Manpower!$C$4:$C$1048576,[1]Manpower!$B$4:$B$1048576,"")</f>
        <v>Riyan Al Khaleej</v>
      </c>
      <c r="E285" s="11" t="s">
        <v>52</v>
      </c>
      <c r="F285" s="12" t="e">
        <f>_xlfn.XLOOKUP([1]!Table134526_79101120212223242526[[#This Row],[Name Surname]],[1]Manpower!C:C,[1]Manpower!D:D,)</f>
        <v>#N/A</v>
      </c>
      <c r="G285" s="13" t="str">
        <f>_xlfn.XLOOKUP([1]!Table134526_79101120212223242526[[#This Row],[Name Surname]],[1]Manpower!$C$4:$C$1048576,[1]Manpower!$F$4:$F$1048576,"")</f>
        <v>100T Telescopic Crane</v>
      </c>
      <c r="H285" s="13" t="str">
        <f>_xlfn.XLOOKUP([1]!Table134526_79101120212223242526[[#This Row],[Name Surname]],[1]Manpower!$C$4:$C$1048576,[1]Manpower!$H$4:$H$1048576,"")</f>
        <v>Equipment</v>
      </c>
      <c r="I285" s="11" t="str">
        <f>_xlfn.XLOOKUP([1]!Table134526_79101120212223242526[[#This Row],[Name Surname]],[1]Manpower!$C$4:$C$1048576,[1]Manpower!$H$4:$H$1048576,"")</f>
        <v>Equipment</v>
      </c>
      <c r="J285" s="13" t="s">
        <v>38</v>
      </c>
      <c r="K285" s="13" t="s">
        <v>7</v>
      </c>
      <c r="L285" s="13" t="s">
        <v>39</v>
      </c>
      <c r="M285" s="13" t="s">
        <v>5</v>
      </c>
      <c r="N285" s="14">
        <v>10</v>
      </c>
      <c r="O285" s="13" t="s">
        <v>33</v>
      </c>
      <c r="P285" s="13" t="s">
        <v>33</v>
      </c>
      <c r="Q285" s="13" t="s">
        <v>33</v>
      </c>
      <c r="R285" s="13" t="s">
        <v>7</v>
      </c>
      <c r="S285" s="15"/>
    </row>
    <row r="286" spans="1:19" x14ac:dyDescent="0.3">
      <c r="A286" s="1" t="e">
        <f>IF(C286="","",MAX($A$2:A285)+1)</f>
        <v>#REF!</v>
      </c>
      <c r="B286" s="17" t="s">
        <v>36</v>
      </c>
      <c r="C286" s="3">
        <v>46092</v>
      </c>
      <c r="D286" s="5" t="str">
        <f>_xlfn.XLOOKUP([1]!Table134526_79101120212223242526[[#This Row],[Name Surname]],[1]Manpower!$C$4:$C$1048576,[1]Manpower!$B$4:$B$1048576,"")</f>
        <v>Encogroup</v>
      </c>
      <c r="E286" s="5" t="s">
        <v>53</v>
      </c>
      <c r="F286" s="4">
        <f>_xlfn.XLOOKUP([1]!Table134526_79101120212223242526[[#This Row],[Name Surname]],[1]Manpower!C:C,[1]Manpower!D:D,)</f>
        <v>127414586</v>
      </c>
      <c r="G286" s="5" t="str">
        <f>_xlfn.XLOOKUP([1]!Table134526_79101120212223242526[[#This Row],[Name Surname]],[1]Manpower!$C$4:$C$1048576,[1]Manpower!$F$4:$F$1048576,"")</f>
        <v>Electrician</v>
      </c>
      <c r="H286" s="5" t="str">
        <f>_xlfn.XLOOKUP([1]!Table134526_79101120212223242526[[#This Row],[Name Surname]],[1]Manpower!$C$4:$C$1048576,[1]Manpower!$H$4:$H$1048576,"")</f>
        <v>Manpower</v>
      </c>
      <c r="I286" s="3" t="str">
        <f>_xlfn.XLOOKUP([1]!Table134526_79101120212223242526[[#This Row],[Name Surname]],[1]Manpower!$C$4:$C$1048576,[1]Manpower!$H$4:$H$1048576,"")</f>
        <v>Manpower</v>
      </c>
      <c r="J286" s="5" t="s">
        <v>38</v>
      </c>
      <c r="K286" s="5" t="s">
        <v>7</v>
      </c>
      <c r="L286" s="5" t="s">
        <v>39</v>
      </c>
      <c r="M286" s="5" t="s">
        <v>5</v>
      </c>
      <c r="N286" s="6">
        <v>10</v>
      </c>
      <c r="O286" s="5" t="s">
        <v>33</v>
      </c>
      <c r="P286" s="5" t="s">
        <v>33</v>
      </c>
      <c r="Q286" s="5" t="s">
        <v>33</v>
      </c>
      <c r="R286" s="5" t="s">
        <v>7</v>
      </c>
      <c r="S286" s="8"/>
    </row>
    <row r="287" spans="1:19" x14ac:dyDescent="0.3">
      <c r="A287" s="9" t="e">
        <f>IF(C287="","",MAX($A$2:A286)+1)</f>
        <v>#REF!</v>
      </c>
      <c r="B287" s="17" t="s">
        <v>36</v>
      </c>
      <c r="C287" s="11">
        <v>46092</v>
      </c>
      <c r="D287" s="13" t="str">
        <f>_xlfn.XLOOKUP([1]!Table134526_79101120212223242526[[#This Row],[Name Surname]],[1]Manpower!$C$4:$C$1048576,[1]Manpower!$B$4:$B$1048576,"")</f>
        <v>Encogroup</v>
      </c>
      <c r="E287" s="13" t="s">
        <v>54</v>
      </c>
      <c r="F287" s="12">
        <f>_xlfn.XLOOKUP([1]!Table134526_79101120212223242526[[#This Row],[Name Surname]],[1]Manpower!C:C,[1]Manpower!D:D,)</f>
        <v>127331574</v>
      </c>
      <c r="G287" s="13" t="str">
        <f>_xlfn.XLOOKUP([1]!Table134526_79101120212223242526[[#This Row],[Name Surname]],[1]Manpower!$C$4:$C$1048576,[1]Manpower!$F$4:$F$1048576,"")</f>
        <v>Permit Receiver</v>
      </c>
      <c r="H287" s="13" t="str">
        <f>_xlfn.XLOOKUP([1]!Table134526_79101120212223242526[[#This Row],[Name Surname]],[1]Manpower!$C$4:$C$1048576,[1]Manpower!$H$4:$H$1048576,"")</f>
        <v>Manpower</v>
      </c>
      <c r="I287" s="11" t="str">
        <f>_xlfn.XLOOKUP([1]!Table134526_79101120212223242526[[#This Row],[Name Surname]],[1]Manpower!$C$4:$C$1048576,[1]Manpower!$H$4:$H$1048576,"")</f>
        <v>Manpower</v>
      </c>
      <c r="J287" s="13" t="s">
        <v>38</v>
      </c>
      <c r="K287" s="13" t="s">
        <v>7</v>
      </c>
      <c r="L287" s="13" t="s">
        <v>39</v>
      </c>
      <c r="M287" s="13" t="s">
        <v>5</v>
      </c>
      <c r="N287" s="14">
        <v>10</v>
      </c>
      <c r="O287" s="13" t="s">
        <v>33</v>
      </c>
      <c r="P287" s="13" t="s">
        <v>33</v>
      </c>
      <c r="Q287" s="13" t="s">
        <v>33</v>
      </c>
      <c r="R287" s="13" t="s">
        <v>7</v>
      </c>
      <c r="S287" s="15"/>
    </row>
    <row r="288" spans="1:19" x14ac:dyDescent="0.3">
      <c r="A288" s="1" t="e">
        <f>IF(C288="","",MAX($A$2:A287)+1)</f>
        <v>#REF!</v>
      </c>
      <c r="B288" s="17" t="s">
        <v>36</v>
      </c>
      <c r="C288" s="3">
        <v>46092</v>
      </c>
      <c r="D288" s="5" t="str">
        <f>_xlfn.XLOOKUP([1]!Table134526_79101120212223242526[[#This Row],[Name Surname]],[1]Manpower!$C$4:$C$1048576,[1]Manpower!$B$4:$B$1048576,"")</f>
        <v>Encogroup</v>
      </c>
      <c r="E288" s="5" t="s">
        <v>55</v>
      </c>
      <c r="F288" s="4">
        <f>_xlfn.XLOOKUP([1]!Table134526_79101120212223242526[[#This Row],[Name Surname]],[1]Manpower!C:C,[1]Manpower!D:D,)</f>
        <v>116589569</v>
      </c>
      <c r="G288" s="5" t="str">
        <f>_xlfn.XLOOKUP([1]!Table134526_79101120212223242526[[#This Row],[Name Surname]],[1]Manpower!$C$4:$C$1048576,[1]Manpower!$F$4:$F$1048576,"")</f>
        <v>Mechanical Engineer</v>
      </c>
      <c r="H288" s="5" t="str">
        <f>_xlfn.XLOOKUP([1]!Table134526_79101120212223242526[[#This Row],[Name Surname]],[1]Manpower!$C$4:$C$1048576,[1]Manpower!$H$4:$H$1048576,"")</f>
        <v>Manpower</v>
      </c>
      <c r="I288" s="3" t="str">
        <f>_xlfn.XLOOKUP([1]!Table134526_79101120212223242526[[#This Row],[Name Surname]],[1]Manpower!$C$4:$C$1048576,[1]Manpower!$H$4:$H$1048576,"")</f>
        <v>Manpower</v>
      </c>
      <c r="J288" s="5" t="s">
        <v>38</v>
      </c>
      <c r="K288" s="5" t="s">
        <v>7</v>
      </c>
      <c r="L288" s="5" t="s">
        <v>39</v>
      </c>
      <c r="M288" s="5" t="s">
        <v>5</v>
      </c>
      <c r="N288" s="6">
        <v>10</v>
      </c>
      <c r="O288" s="5" t="s">
        <v>33</v>
      </c>
      <c r="P288" s="5" t="s">
        <v>33</v>
      </c>
      <c r="Q288" s="5" t="s">
        <v>33</v>
      </c>
      <c r="R288" s="5" t="s">
        <v>7</v>
      </c>
      <c r="S288" s="8"/>
    </row>
    <row r="289" spans="1:19" x14ac:dyDescent="0.3">
      <c r="A289" s="9" t="e">
        <f>IF(C289="","",MAX($A$2:A288)+1)</f>
        <v>#REF!</v>
      </c>
      <c r="B289" s="17" t="s">
        <v>36</v>
      </c>
      <c r="C289" s="11">
        <v>46092</v>
      </c>
      <c r="D289" s="13" t="str">
        <f>_xlfn.XLOOKUP([1]!Table134526_79101120212223242526[[#This Row],[Name Surname]],[1]Manpower!$C$4:$C$1048576,[1]Manpower!$B$4:$B$1048576,"")</f>
        <v>Encogroup</v>
      </c>
      <c r="E289" s="13" t="s">
        <v>56</v>
      </c>
      <c r="F289" s="12">
        <f>_xlfn.XLOOKUP([1]!Table134526_79101120212223242526[[#This Row],[Name Surname]],[1]Manpower!C:C,[1]Manpower!D:D,)</f>
        <v>99596058</v>
      </c>
      <c r="G289" s="13" t="str">
        <f>_xlfn.XLOOKUP([1]!Table134526_79101120212223242526[[#This Row],[Name Surname]],[1]Manpower!$C$4:$C$1048576,[1]Manpower!$F$4:$F$1048576,"")</f>
        <v>HSE Officer</v>
      </c>
      <c r="H289" s="13" t="str">
        <f>_xlfn.XLOOKUP([1]!Table134526_79101120212223242526[[#This Row],[Name Surname]],[1]Manpower!$C$4:$C$1048576,[1]Manpower!$H$4:$H$1048576,"")</f>
        <v>Manpower</v>
      </c>
      <c r="I289" s="11" t="str">
        <f>_xlfn.XLOOKUP([1]!Table134526_79101120212223242526[[#This Row],[Name Surname]],[1]Manpower!$C$4:$C$1048576,[1]Manpower!$H$4:$H$1048576,"")</f>
        <v>Manpower</v>
      </c>
      <c r="J289" s="13" t="s">
        <v>38</v>
      </c>
      <c r="K289" s="13" t="s">
        <v>7</v>
      </c>
      <c r="L289" s="13" t="s">
        <v>39</v>
      </c>
      <c r="M289" s="13" t="s">
        <v>5</v>
      </c>
      <c r="N289" s="14">
        <v>10</v>
      </c>
      <c r="O289" s="13" t="s">
        <v>33</v>
      </c>
      <c r="P289" s="13" t="s">
        <v>33</v>
      </c>
      <c r="Q289" s="13" t="s">
        <v>33</v>
      </c>
      <c r="R289" s="13" t="s">
        <v>7</v>
      </c>
      <c r="S289" s="15"/>
    </row>
    <row r="290" spans="1:19" x14ac:dyDescent="0.3">
      <c r="A290" s="1" t="e">
        <f>IF(C290="","",MAX($A$2:A289)+1)</f>
        <v>#REF!</v>
      </c>
      <c r="B290" s="17" t="s">
        <v>36</v>
      </c>
      <c r="C290" s="3">
        <v>46092</v>
      </c>
      <c r="D290" s="5" t="str">
        <f>_xlfn.XLOOKUP([1]!Table134526_79101120212223242526[[#This Row],[Name Surname]],[1]Manpower!$C$4:$C$1048576,[1]Manpower!$B$4:$B$1048576,"")</f>
        <v>Encogroup</v>
      </c>
      <c r="E290" s="5" t="s">
        <v>57</v>
      </c>
      <c r="F290" s="4">
        <f>_xlfn.XLOOKUP([1]!Table134526_79101120212223242526[[#This Row],[Name Surname]],[1]Manpower!C:C,[1]Manpower!D:D,)</f>
        <v>140697039</v>
      </c>
      <c r="G290" s="5" t="str">
        <f>_xlfn.XLOOKUP([1]!Table134526_79101120212223242526[[#This Row],[Name Surname]],[1]Manpower!$C$4:$C$1048576,[1]Manpower!$F$4:$F$1048576,"")</f>
        <v>Fitter/Erector</v>
      </c>
      <c r="H290" s="5" t="str">
        <f>_xlfn.XLOOKUP([1]!Table134526_79101120212223242526[[#This Row],[Name Surname]],[1]Manpower!$C$4:$C$1048576,[1]Manpower!$H$4:$H$1048576,"")</f>
        <v>Manpower</v>
      </c>
      <c r="I290" s="3" t="str">
        <f>_xlfn.XLOOKUP([1]!Table134526_79101120212223242526[[#This Row],[Name Surname]],[1]Manpower!$C$4:$C$1048576,[1]Manpower!$H$4:$H$1048576,"")</f>
        <v>Manpower</v>
      </c>
      <c r="J290" s="5" t="s">
        <v>38</v>
      </c>
      <c r="K290" s="5" t="s">
        <v>7</v>
      </c>
      <c r="L290" s="5" t="s">
        <v>39</v>
      </c>
      <c r="M290" s="5" t="s">
        <v>5</v>
      </c>
      <c r="N290" s="6">
        <v>8</v>
      </c>
      <c r="O290" s="5" t="s">
        <v>11</v>
      </c>
      <c r="P290" s="5" t="s">
        <v>13</v>
      </c>
      <c r="Q290" s="5" t="s">
        <v>13</v>
      </c>
      <c r="R290" s="5" t="s">
        <v>7</v>
      </c>
      <c r="S290" s="8"/>
    </row>
    <row r="291" spans="1:19" x14ac:dyDescent="0.3">
      <c r="A291" s="9" t="e">
        <f>IF(C291="","",MAX($A$2:A290)+1)</f>
        <v>#REF!</v>
      </c>
      <c r="B291" s="17" t="s">
        <v>36</v>
      </c>
      <c r="C291" s="11">
        <v>46092</v>
      </c>
      <c r="D291" s="13" t="str">
        <f>_xlfn.XLOOKUP([1]!Table134526_79101120212223242526[[#This Row],[Name Surname]],[1]Manpower!$C$4:$C$1048576,[1]Manpower!$B$4:$B$1048576,"")</f>
        <v>Encogroup</v>
      </c>
      <c r="E291" s="11" t="s">
        <v>58</v>
      </c>
      <c r="F291" s="12">
        <f>_xlfn.XLOOKUP([1]!Table134526_79101120212223242526[[#This Row],[Name Surname]],[1]Manpower!C:C,[1]Manpower!D:D,)</f>
        <v>124565057</v>
      </c>
      <c r="G291" s="13" t="str">
        <f>_xlfn.XLOOKUP([1]!Table134526_79101120212223242526[[#This Row],[Name Surname]],[1]Manpower!$C$4:$C$1048576,[1]Manpower!$F$4:$F$1048576,"")</f>
        <v>Fitter/Erector</v>
      </c>
      <c r="H291" s="13" t="str">
        <f>_xlfn.XLOOKUP([1]!Table134526_79101120212223242526[[#This Row],[Name Surname]],[1]Manpower!$C$4:$C$1048576,[1]Manpower!$H$4:$H$1048576,"")</f>
        <v>Manpower</v>
      </c>
      <c r="I291" s="11" t="str">
        <f>_xlfn.XLOOKUP([1]!Table134526_79101120212223242526[[#This Row],[Name Surname]],[1]Manpower!$C$4:$C$1048576,[1]Manpower!$H$4:$H$1048576,"")</f>
        <v>Manpower</v>
      </c>
      <c r="J291" s="13" t="s">
        <v>38</v>
      </c>
      <c r="K291" s="13" t="s">
        <v>7</v>
      </c>
      <c r="L291" s="13" t="s">
        <v>39</v>
      </c>
      <c r="M291" s="13" t="s">
        <v>18</v>
      </c>
      <c r="N291" s="14">
        <v>10</v>
      </c>
      <c r="O291" s="13"/>
      <c r="P291" s="13"/>
      <c r="Q291" s="13"/>
      <c r="R291" s="13" t="s">
        <v>19</v>
      </c>
      <c r="S291" s="15"/>
    </row>
    <row r="292" spans="1:19" x14ac:dyDescent="0.3">
      <c r="A292" s="1" t="e">
        <f>IF(C292="","",MAX($A$2:A291)+1)</f>
        <v>#REF!</v>
      </c>
      <c r="B292" s="17" t="s">
        <v>36</v>
      </c>
      <c r="C292" s="3">
        <v>46092</v>
      </c>
      <c r="D292" s="5" t="str">
        <f>_xlfn.XLOOKUP([1]!Table134526_79101120212223242526[[#This Row],[Name Surname]],[1]Manpower!$C$4:$C$1048576,[1]Manpower!$B$4:$B$1048576,"")</f>
        <v>Encogroup</v>
      </c>
      <c r="E292" s="3" t="s">
        <v>59</v>
      </c>
      <c r="F292" s="4">
        <f>_xlfn.XLOOKUP([1]!Table134526_79101120212223242526[[#This Row],[Name Surname]],[1]Manpower!C:C,[1]Manpower!D:D,)</f>
        <v>141365023</v>
      </c>
      <c r="G292" s="5" t="str">
        <f>_xlfn.XLOOKUP([1]!Table134526_79101120212223242526[[#This Row],[Name Surname]],[1]Manpower!$C$4:$C$1048576,[1]Manpower!$F$4:$F$1048576,"")</f>
        <v>Grinder</v>
      </c>
      <c r="H292" s="5" t="str">
        <f>_xlfn.XLOOKUP([1]!Table134526_79101120212223242526[[#This Row],[Name Surname]],[1]Manpower!$C$4:$C$1048576,[1]Manpower!$H$4:$H$1048576,"")</f>
        <v>Manpower</v>
      </c>
      <c r="I292" s="3" t="str">
        <f>_xlfn.XLOOKUP([1]!Table134526_79101120212223242526[[#This Row],[Name Surname]],[1]Manpower!$C$4:$C$1048576,[1]Manpower!$H$4:$H$1048576,"")</f>
        <v>Manpower</v>
      </c>
      <c r="J292" s="5" t="s">
        <v>38</v>
      </c>
      <c r="K292" s="5" t="s">
        <v>7</v>
      </c>
      <c r="L292" s="5" t="s">
        <v>39</v>
      </c>
      <c r="M292" s="5" t="s">
        <v>18</v>
      </c>
      <c r="N292" s="6">
        <v>10</v>
      </c>
      <c r="O292" s="5"/>
      <c r="P292" s="5"/>
      <c r="Q292" s="5"/>
      <c r="R292" s="5" t="s">
        <v>19</v>
      </c>
      <c r="S292" s="8"/>
    </row>
    <row r="293" spans="1:19" x14ac:dyDescent="0.3">
      <c r="A293" s="9" t="e">
        <f>IF(C293="","",MAX($A$2:A292)+1)</f>
        <v>#REF!</v>
      </c>
      <c r="B293" s="2" t="s">
        <v>0</v>
      </c>
      <c r="C293" s="11">
        <v>46093</v>
      </c>
      <c r="D293" s="13" t="str">
        <f>_xlfn.XLOOKUP([1]!Table134526_79101120212223242526[[#This Row],[Name Surname]],[1]Manpower!$C$4:$C$1048576,[1]Manpower!$B$4:$B$1048576,"")</f>
        <v>AL Omar International TRAD AND CONT</v>
      </c>
      <c r="E293" s="13" t="s">
        <v>43</v>
      </c>
      <c r="F293" s="12">
        <f>_xlfn.XLOOKUP([1]!Table134526_79101120212223242526[[#This Row],[Name Surname]],[1]Manpower!C:C,[1]Manpower!D:D,)</f>
        <v>114929202</v>
      </c>
      <c r="G293" s="13" t="str">
        <f>_xlfn.XLOOKUP([1]!Table134526_79101120212223242526[[#This Row],[Name Surname]],[1]Manpower!$C$4:$C$1048576,[1]Manpower!$F$4:$F$1048576,"")</f>
        <v>RIgger</v>
      </c>
      <c r="H293" s="13" t="str">
        <f>_xlfn.XLOOKUP([1]!Table134526_79101120212223242526[[#This Row],[Name Surname]],[1]Manpower!$C$4:$C$1048576,[1]Manpower!$H$4:$H$1048576,"")</f>
        <v>Sub Contactor</v>
      </c>
      <c r="I293" s="13" t="str">
        <f>_xlfn.XLOOKUP([1]!Table134526_79101120212223242526[[#This Row],[Name Surname]],[1]Manpower!$C$4:$C$1048576,[1]Manpower!$H$4:$H$1048576,"")</f>
        <v>Sub Contactor</v>
      </c>
      <c r="J293" s="13" t="s">
        <v>2</v>
      </c>
      <c r="K293" s="13" t="s">
        <v>64</v>
      </c>
      <c r="L293" s="13" t="s">
        <v>10</v>
      </c>
      <c r="M293" s="13" t="s">
        <v>5</v>
      </c>
      <c r="N293" s="14">
        <v>10</v>
      </c>
      <c r="O293" s="13" t="s">
        <v>11</v>
      </c>
      <c r="P293" s="13" t="s">
        <v>12</v>
      </c>
      <c r="Q293" s="13" t="s">
        <v>13</v>
      </c>
      <c r="R293" s="13" t="s">
        <v>86</v>
      </c>
      <c r="S293" s="15"/>
    </row>
    <row r="294" spans="1:19" x14ac:dyDescent="0.3">
      <c r="A294" s="1" t="e">
        <f>IF(C294="","",MAX($A$2:A293)+1)</f>
        <v>#REF!</v>
      </c>
      <c r="B294" s="2" t="s">
        <v>0</v>
      </c>
      <c r="C294" s="3">
        <v>46093</v>
      </c>
      <c r="D294" s="5" t="str">
        <f>_xlfn.XLOOKUP([1]!Table134526_79101120212223242526[[#This Row],[Name Surname]],[1]Manpower!$C$4:$C$1048576,[1]Manpower!$B$4:$B$1048576,"")</f>
        <v>Encogroup</v>
      </c>
      <c r="E294" s="5" t="s">
        <v>15</v>
      </c>
      <c r="F294" s="4">
        <f>_xlfn.XLOOKUP([1]!Table134526_79101120212223242526[[#This Row],[Name Surname]],[1]Manpower!C:C,[1]Manpower!D:D,)</f>
        <v>140742088</v>
      </c>
      <c r="G294" s="5" t="str">
        <f>_xlfn.XLOOKUP([1]!Table134526_79101120212223242526[[#This Row],[Name Surname]],[1]Manpower!$C$4:$C$1048576,[1]Manpower!$F$4:$F$1048576,"")</f>
        <v>Fitter/Erector</v>
      </c>
      <c r="H294" s="5" t="str">
        <f>_xlfn.XLOOKUP([1]!Table134526_79101120212223242526[[#This Row],[Name Surname]],[1]Manpower!$C$4:$C$1048576,[1]Manpower!$H$4:$H$1048576,"")</f>
        <v>Manpower</v>
      </c>
      <c r="I294" s="5" t="str">
        <f>_xlfn.XLOOKUP([1]!Table134526_79101120212223242526[[#This Row],[Name Surname]],[1]Manpower!$C$4:$C$1048576,[1]Manpower!$H$4:$H$1048576,"")</f>
        <v>Manpower</v>
      </c>
      <c r="J294" s="5" t="s">
        <v>2</v>
      </c>
      <c r="K294" s="5" t="s">
        <v>87</v>
      </c>
      <c r="L294" s="5" t="s">
        <v>4</v>
      </c>
      <c r="M294" s="5" t="s">
        <v>5</v>
      </c>
      <c r="N294" s="6">
        <v>10</v>
      </c>
      <c r="O294" s="5" t="s">
        <v>88</v>
      </c>
      <c r="P294" s="5" t="s">
        <v>12</v>
      </c>
      <c r="Q294" s="5" t="s">
        <v>89</v>
      </c>
      <c r="R294" s="5" t="s">
        <v>90</v>
      </c>
      <c r="S294" s="8"/>
    </row>
    <row r="295" spans="1:19" x14ac:dyDescent="0.3">
      <c r="A295" s="9" t="e">
        <f>IF(C295="","",MAX($A$2:A294)+1)</f>
        <v>#REF!</v>
      </c>
      <c r="B295" s="10" t="s">
        <v>0</v>
      </c>
      <c r="C295" s="11">
        <v>46093</v>
      </c>
      <c r="D295" s="13" t="str">
        <f>_xlfn.XLOOKUP([1]!Table134526_79101120212223242526[[#This Row],[Name Surname]],[1]Manpower!$C$4:$C$1048576,[1]Manpower!$B$4:$B$1048576,"")</f>
        <v>Rial Al Khaleej</v>
      </c>
      <c r="E295" s="11" t="s">
        <v>61</v>
      </c>
      <c r="F295" s="12">
        <f>_xlfn.XLOOKUP([1]!Table134526_79101120212223242526[[#This Row],[Name Surname]],[1]Manpower!C:C,[1]Manpower!D:D,)</f>
        <v>98845403</v>
      </c>
      <c r="G295" s="13" t="str">
        <f>_xlfn.XLOOKUP([1]!Table134526_79101120212223242526[[#This Row],[Name Surname]],[1]Manpower!$C$4:$C$1048576,[1]Manpower!$F$4:$F$1048576,"")</f>
        <v>Crane Operator-100T Zoomlion Telescopic</v>
      </c>
      <c r="H295" s="13" t="str">
        <f>_xlfn.XLOOKUP([1]!Table134526_79101120212223242526[[#This Row],[Name Surname]],[1]Manpower!$C$4:$C$1048576,[1]Manpower!$H$4:$H$1048576,"")</f>
        <v>Manpower</v>
      </c>
      <c r="I295" s="13" t="str">
        <f>_xlfn.XLOOKUP([1]!Table134526_79101120212223242526[[#This Row],[Name Surname]],[1]Manpower!$C$4:$C$1048576,[1]Manpower!$H$4:$H$1048576,"")</f>
        <v>Manpower</v>
      </c>
      <c r="J295" s="13" t="s">
        <v>9</v>
      </c>
      <c r="K295" s="13" t="s">
        <v>7</v>
      </c>
      <c r="L295" s="13" t="s">
        <v>10</v>
      </c>
      <c r="M295" s="13" t="s">
        <v>5</v>
      </c>
      <c r="N295" s="14">
        <v>10</v>
      </c>
      <c r="O295" s="13" t="s">
        <v>11</v>
      </c>
      <c r="P295" s="13" t="s">
        <v>12</v>
      </c>
      <c r="Q295" s="13" t="s">
        <v>13</v>
      </c>
      <c r="R295" s="13" t="s">
        <v>7</v>
      </c>
      <c r="S295" s="15"/>
    </row>
    <row r="296" spans="1:19" x14ac:dyDescent="0.3">
      <c r="A296" s="1" t="e">
        <f>IF(C296="","",MAX($A$2:A295)+1)</f>
        <v>#REF!</v>
      </c>
      <c r="B296" s="10" t="s">
        <v>0</v>
      </c>
      <c r="C296" s="3">
        <v>46093</v>
      </c>
      <c r="D296" s="5" t="str">
        <f>_xlfn.XLOOKUP([1]!Table134526_79101120212223242526[[#This Row],[Name Surname]],[1]Manpower!$C$4:$C$1048576,[1]Manpower!$B$4:$B$1048576,"")</f>
        <v>Encogroup</v>
      </c>
      <c r="E296" s="5" t="s">
        <v>8</v>
      </c>
      <c r="F296" s="4">
        <f>_xlfn.XLOOKUP([1]!Table134526_79101120212223242526[[#This Row],[Name Surname]],[1]Manpower!C:C,[1]Manpower!D:D,)</f>
        <v>140806218</v>
      </c>
      <c r="G296" s="5" t="str">
        <f>_xlfn.XLOOKUP([1]!Table134526_79101120212223242526[[#This Row],[Name Surname]],[1]Manpower!$C$4:$C$1048576,[1]Manpower!$F$4:$F$1048576,"")</f>
        <v>Fitter/Erector</v>
      </c>
      <c r="H296" s="5" t="str">
        <f>_xlfn.XLOOKUP([1]!Table134526_79101120212223242526[[#This Row],[Name Surname]],[1]Manpower!$C$4:$C$1048576,[1]Manpower!$H$4:$H$1048576,"")</f>
        <v>Manpower</v>
      </c>
      <c r="I296" s="5" t="str">
        <f>_xlfn.XLOOKUP([1]!Table134526_79101120212223242526[[#This Row],[Name Surname]],[1]Manpower!$C$4:$C$1048576,[1]Manpower!$H$4:$H$1048576,"")</f>
        <v>Manpower</v>
      </c>
      <c r="J296" s="5" t="s">
        <v>9</v>
      </c>
      <c r="K296" s="5" t="s">
        <v>7</v>
      </c>
      <c r="L296" s="5" t="s">
        <v>10</v>
      </c>
      <c r="M296" s="5" t="s">
        <v>5</v>
      </c>
      <c r="N296" s="6">
        <v>10</v>
      </c>
      <c r="O296" s="5" t="s">
        <v>11</v>
      </c>
      <c r="P296" s="5" t="s">
        <v>12</v>
      </c>
      <c r="Q296" s="5" t="s">
        <v>13</v>
      </c>
      <c r="R296" s="5" t="s">
        <v>7</v>
      </c>
      <c r="S296" s="8"/>
    </row>
    <row r="297" spans="1:19" x14ac:dyDescent="0.3">
      <c r="A297" s="9" t="e">
        <f>IF(C297="","",MAX($A$2:A296)+1)</f>
        <v>#REF!</v>
      </c>
      <c r="B297" s="10" t="s">
        <v>0</v>
      </c>
      <c r="C297" s="11">
        <v>46093</v>
      </c>
      <c r="D297" s="13" t="str">
        <f>_xlfn.XLOOKUP([1]!Table134526_79101120212223242526[[#This Row],[Name Surname]],[1]Manpower!$C$4:$C$1048576,[1]Manpower!$B$4:$B$1048576,"")</f>
        <v>Encogroup</v>
      </c>
      <c r="E297" s="13" t="s">
        <v>17</v>
      </c>
      <c r="F297" s="12">
        <f>_xlfn.XLOOKUP([1]!Table134526_79101120212223242526[[#This Row],[Name Surname]],[1]Manpower!C:C,[1]Manpower!D:D,)</f>
        <v>140844618</v>
      </c>
      <c r="G297" s="13" t="str">
        <f>_xlfn.XLOOKUP([1]!Table134526_79101120212223242526[[#This Row],[Name Surname]],[1]Manpower!$C$4:$C$1048576,[1]Manpower!$F$4:$F$1048576,"")</f>
        <v>Assistant/Helper</v>
      </c>
      <c r="H297" s="13" t="str">
        <f>_xlfn.XLOOKUP([1]!Table134526_79101120212223242526[[#This Row],[Name Surname]],[1]Manpower!$C$4:$C$1048576,[1]Manpower!$H$4:$H$1048576,"")</f>
        <v>Manpower</v>
      </c>
      <c r="I297" s="13" t="str">
        <f>_xlfn.XLOOKUP([1]!Table134526_79101120212223242526[[#This Row],[Name Surname]],[1]Manpower!$C$4:$C$1048576,[1]Manpower!$H$4:$H$1048576,"")</f>
        <v>Manpower</v>
      </c>
      <c r="J297" s="13" t="s">
        <v>9</v>
      </c>
      <c r="K297" s="13" t="s">
        <v>7</v>
      </c>
      <c r="L297" s="13" t="s">
        <v>10</v>
      </c>
      <c r="M297" s="13" t="s">
        <v>5</v>
      </c>
      <c r="N297" s="14">
        <v>10</v>
      </c>
      <c r="O297" s="13" t="s">
        <v>6</v>
      </c>
      <c r="P297" s="13" t="s">
        <v>12</v>
      </c>
      <c r="Q297" s="13" t="s">
        <v>29</v>
      </c>
      <c r="R297" s="13" t="s">
        <v>7</v>
      </c>
      <c r="S297" s="15"/>
    </row>
    <row r="298" spans="1:19" x14ac:dyDescent="0.3">
      <c r="A298" s="1" t="e">
        <f>IF(C298="","",MAX($A$2:A297)+1)</f>
        <v>#REF!</v>
      </c>
      <c r="B298" s="10" t="s">
        <v>0</v>
      </c>
      <c r="C298" s="3">
        <v>46093</v>
      </c>
      <c r="D298" s="3" t="str">
        <f>_xlfn.XLOOKUP([1]!Table134526_79101120212223242526[[#This Row],[Name Surname]],[1]Manpower!$C$4:$C$1048576,[1]Manpower!$B$4:$B$1048576,"")</f>
        <v>Bright Light</v>
      </c>
      <c r="E298" s="3" t="s">
        <v>20</v>
      </c>
      <c r="F298" s="4" t="e">
        <f>_xlfn.XLOOKUP([1]!Table134526_79101120212223242526[[#This Row],[Name Surname]],[1]Manpower!C:C,[1]Manpower!D:D,)</f>
        <v>#N/A</v>
      </c>
      <c r="G298" s="3" t="str">
        <f>_xlfn.XLOOKUP([1]!Table134526_79101120212223242526[[#This Row],[Name Surname]],[1]Manpower!$C$4:$C$1048576,[1]Manpower!$F$4:$F$1048576,"")</f>
        <v>100T Telescopic Crane</v>
      </c>
      <c r="H298" s="3" t="str">
        <f>_xlfn.XLOOKUP([1]!Table134526_79101120212223242526[[#This Row],[Name Surname]],[1]Manpower!$C$4:$C$1048576,[1]Manpower!$H$4:$H$1048576,"")</f>
        <v>Equipment</v>
      </c>
      <c r="I298" s="3" t="str">
        <f>_xlfn.XLOOKUP([1]!Table134526_79101120212223242526[[#This Row],[Name Surname]],[1]Manpower!$C$4:$C$1048576,[1]Manpower!$H$4:$H$1048576,"")</f>
        <v>Equipment</v>
      </c>
      <c r="J298" s="5" t="s">
        <v>9</v>
      </c>
      <c r="K298" s="5" t="s">
        <v>7</v>
      </c>
      <c r="L298" s="5" t="s">
        <v>10</v>
      </c>
      <c r="M298" s="5" t="s">
        <v>5</v>
      </c>
      <c r="N298" s="6">
        <v>10</v>
      </c>
      <c r="O298" s="5" t="s">
        <v>6</v>
      </c>
      <c r="P298" s="5" t="s">
        <v>12</v>
      </c>
      <c r="Q298" s="5" t="s">
        <v>12</v>
      </c>
      <c r="R298" s="5" t="s">
        <v>7</v>
      </c>
      <c r="S298" s="8"/>
    </row>
    <row r="299" spans="1:19" x14ac:dyDescent="0.3">
      <c r="A299" s="9" t="e">
        <f>IF(C299="","",MAX($A$2:A298)+1)</f>
        <v>#REF!</v>
      </c>
      <c r="B299" s="16" t="s">
        <v>21</v>
      </c>
      <c r="C299" s="11">
        <v>46093</v>
      </c>
      <c r="D299" s="13" t="str">
        <f>_xlfn.XLOOKUP([1]!Table134526_79101120212223242526[[#This Row],[Name Surname]],[1]Manpower!$C$4:$C$1048576,[1]Manpower!$B$4:$B$1048576,"")</f>
        <v>Bright Light</v>
      </c>
      <c r="E299" s="13" t="s">
        <v>22</v>
      </c>
      <c r="F299" s="12" t="e">
        <f>_xlfn.XLOOKUP([1]!Table134526_79101120212223242526[[#This Row],[Name Surname]],[1]Manpower!C:C,[1]Manpower!D:D,)</f>
        <v>#N/A</v>
      </c>
      <c r="G299" s="13" t="str">
        <f>_xlfn.XLOOKUP([1]!Table134526_79101120212223242526[[#This Row],[Name Surname]],[1]Manpower!$C$4:$C$1048576,[1]Manpower!$F$4:$F$1048576,"")</f>
        <v>150T-Crawler Crane</v>
      </c>
      <c r="H299" s="13" t="str">
        <f>_xlfn.XLOOKUP([1]!Table134526_79101120212223242526[[#This Row],[Name Surname]],[1]Manpower!$C$4:$C$1048576,[1]Manpower!$H$4:$H$1048576,"")</f>
        <v>Equipment</v>
      </c>
      <c r="I299" s="13" t="str">
        <f>_xlfn.XLOOKUP([1]!Table134526_79101120212223242526[[#This Row],[Name Surname]],[1]Manpower!$C$4:$C$1048576,[1]Manpower!$H$4:$H$1048576,"")</f>
        <v>Equipment</v>
      </c>
      <c r="J299" s="13" t="s">
        <v>23</v>
      </c>
      <c r="K299" s="13" t="s">
        <v>69</v>
      </c>
      <c r="L299" s="13" t="s">
        <v>25</v>
      </c>
      <c r="M299" s="13" t="s">
        <v>5</v>
      </c>
      <c r="N299" s="14">
        <v>10</v>
      </c>
      <c r="O299" s="13" t="s">
        <v>6</v>
      </c>
      <c r="P299" s="13" t="s">
        <v>12</v>
      </c>
      <c r="Q299" s="13" t="s">
        <v>26</v>
      </c>
      <c r="R299" s="13" t="s">
        <v>77</v>
      </c>
      <c r="S299" s="15"/>
    </row>
    <row r="300" spans="1:19" x14ac:dyDescent="0.3">
      <c r="A300" s="1" t="e">
        <f>IF(C300="","",MAX($A$2:A299)+1)</f>
        <v>#REF!</v>
      </c>
      <c r="B300" s="16" t="s">
        <v>21</v>
      </c>
      <c r="C300" s="3">
        <v>46093</v>
      </c>
      <c r="D300" s="5" t="str">
        <f>_xlfn.XLOOKUP([1]!Table134526_79101120212223242526[[#This Row],[Name Surname]],[1]Manpower!$C$4:$C$1048576,[1]Manpower!$B$4:$B$1048576,"")</f>
        <v>Encogroup</v>
      </c>
      <c r="E300" s="5" t="s">
        <v>28</v>
      </c>
      <c r="F300" s="4" t="e">
        <f>_xlfn.XLOOKUP([1]!Table134526_79101120212223242526[[#This Row],[Name Surname]],[1]Manpower!C:C,[1]Manpower!D:D,)</f>
        <v>#N/A</v>
      </c>
      <c r="G300" s="5" t="str">
        <f>_xlfn.XLOOKUP([1]!Table134526_79101120212223242526[[#This Row],[Name Surname]],[1]Manpower!$C$4:$C$1048576,[1]Manpower!$F$4:$F$1048576,"")</f>
        <v>22M-Manlift</v>
      </c>
      <c r="H300" s="5" t="str">
        <f>_xlfn.XLOOKUP([1]!Table134526_79101120212223242526[[#This Row],[Name Surname]],[1]Manpower!$C$4:$C$1048576,[1]Manpower!$H$4:$H$1048576,"")</f>
        <v>Equipment</v>
      </c>
      <c r="I300" s="5" t="str">
        <f>_xlfn.XLOOKUP([1]!Table134526_79101120212223242526[[#This Row],[Name Surname]],[1]Manpower!$C$4:$C$1048576,[1]Manpower!$H$4:$H$1048576,"")</f>
        <v>Equipment</v>
      </c>
      <c r="J300" s="5" t="s">
        <v>23</v>
      </c>
      <c r="K300" s="5" t="s">
        <v>69</v>
      </c>
      <c r="L300" s="5" t="s">
        <v>25</v>
      </c>
      <c r="M300" s="5" t="s">
        <v>5</v>
      </c>
      <c r="N300" s="6">
        <v>10</v>
      </c>
      <c r="O300" s="5" t="s">
        <v>6</v>
      </c>
      <c r="P300" s="5" t="s">
        <v>12</v>
      </c>
      <c r="Q300" s="5" t="s">
        <v>26</v>
      </c>
      <c r="R300" s="5" t="s">
        <v>77</v>
      </c>
      <c r="S300" s="8"/>
    </row>
    <row r="301" spans="1:19" x14ac:dyDescent="0.3">
      <c r="A301" s="9" t="e">
        <f>IF(C301="","",MAX($A$2:A300)+1)</f>
        <v>#REF!</v>
      </c>
      <c r="B301" s="16" t="s">
        <v>21</v>
      </c>
      <c r="C301" s="11">
        <v>46093</v>
      </c>
      <c r="D301" s="13" t="str">
        <f>_xlfn.XLOOKUP([1]!Table134526_79101120212223242526[[#This Row],[Name Surname]],[1]Manpower!$C$4:$C$1048576,[1]Manpower!$B$4:$B$1048576,"")</f>
        <v>Encogroup</v>
      </c>
      <c r="E301" s="13" t="s">
        <v>31</v>
      </c>
      <c r="F301" s="12" t="e">
        <f>_xlfn.XLOOKUP([1]!Table134526_79101120212223242526[[#This Row],[Name Surname]],[1]Manpower!C:C,[1]Manpower!D:D,)</f>
        <v>#N/A</v>
      </c>
      <c r="G301" s="13" t="str">
        <f>_xlfn.XLOOKUP([1]!Table134526_79101120212223242526[[#This Row],[Name Surname]],[1]Manpower!$C$4:$C$1048576,[1]Manpower!$F$4:$F$1048576,"")</f>
        <v>28M-Manlift</v>
      </c>
      <c r="H301" s="13" t="str">
        <f>_xlfn.XLOOKUP([1]!Table134526_79101120212223242526[[#This Row],[Name Surname]],[1]Manpower!$C$4:$C$1048576,[1]Manpower!$H$4:$H$1048576,"")</f>
        <v>Equipment</v>
      </c>
      <c r="I301" s="13" t="str">
        <f>_xlfn.XLOOKUP([1]!Table134526_79101120212223242526[[#This Row],[Name Surname]],[1]Manpower!$C$4:$C$1048576,[1]Manpower!$H$4:$H$1048576,"")</f>
        <v>Equipment</v>
      </c>
      <c r="J301" s="13" t="s">
        <v>23</v>
      </c>
      <c r="K301" s="13" t="s">
        <v>81</v>
      </c>
      <c r="L301" s="13" t="s">
        <v>25</v>
      </c>
      <c r="M301" s="13" t="s">
        <v>5</v>
      </c>
      <c r="N301" s="14">
        <v>10</v>
      </c>
      <c r="O301" s="13" t="s">
        <v>11</v>
      </c>
      <c r="P301" s="13" t="s">
        <v>12</v>
      </c>
      <c r="Q301" s="13" t="s">
        <v>13</v>
      </c>
      <c r="R301" s="13" t="s">
        <v>91</v>
      </c>
      <c r="S301" s="15"/>
    </row>
    <row r="302" spans="1:19" x14ac:dyDescent="0.3">
      <c r="A302" s="1" t="e">
        <f>IF(C302="","",MAX($A$2:A301)+1)</f>
        <v>#REF!</v>
      </c>
      <c r="B302" s="16" t="s">
        <v>21</v>
      </c>
      <c r="C302" s="3">
        <v>46093</v>
      </c>
      <c r="D302" s="5" t="str">
        <f>_xlfn.XLOOKUP([1]!Table134526_79101120212223242526[[#This Row],[Name Surname]],[1]Manpower!$C$4:$C$1048576,[1]Manpower!$B$4:$B$1048576,"")</f>
        <v>Encogroup</v>
      </c>
      <c r="E302" s="3" t="s">
        <v>32</v>
      </c>
      <c r="F302" s="4">
        <f>_xlfn.XLOOKUP([1]!Table134526_79101120212223242526[[#This Row],[Name Surname]],[1]Manpower!C:C,[1]Manpower!D:D,)</f>
        <v>140693697</v>
      </c>
      <c r="G302" s="5" t="str">
        <f>_xlfn.XLOOKUP([1]!Table134526_79101120212223242526[[#This Row],[Name Surname]],[1]Manpower!$C$4:$C$1048576,[1]Manpower!$F$4:$F$1048576,"")</f>
        <v>HSE Officer</v>
      </c>
      <c r="H302" s="5" t="str">
        <f>_xlfn.XLOOKUP([1]!Table134526_79101120212223242526[[#This Row],[Name Surname]],[1]Manpower!$C$4:$C$1048576,[1]Manpower!$H$4:$H$1048576,"")</f>
        <v>Manpower</v>
      </c>
      <c r="I302" s="5" t="str">
        <f>_xlfn.XLOOKUP([1]!Table134526_79101120212223242526[[#This Row],[Name Surname]],[1]Manpower!$C$4:$C$1048576,[1]Manpower!$H$4:$H$1048576,"")</f>
        <v>Manpower</v>
      </c>
      <c r="J302" s="5" t="s">
        <v>23</v>
      </c>
      <c r="K302" s="5" t="s">
        <v>83</v>
      </c>
      <c r="L302" s="5" t="s">
        <v>25</v>
      </c>
      <c r="M302" s="5" t="s">
        <v>5</v>
      </c>
      <c r="N302" s="6">
        <v>10</v>
      </c>
      <c r="O302" s="5" t="s">
        <v>33</v>
      </c>
      <c r="P302" s="5" t="s">
        <v>33</v>
      </c>
      <c r="Q302" s="5" t="s">
        <v>33</v>
      </c>
      <c r="R302" s="5" t="s">
        <v>7</v>
      </c>
      <c r="S302" s="8"/>
    </row>
    <row r="303" spans="1:19" x14ac:dyDescent="0.3">
      <c r="A303" s="9" t="e">
        <f>IF(C303="","",MAX($A$2:A301)+1)</f>
        <v>#REF!</v>
      </c>
      <c r="B303" s="16" t="s">
        <v>21</v>
      </c>
      <c r="C303" s="11">
        <v>46093</v>
      </c>
      <c r="D303" s="13" t="str">
        <f>_xlfn.XLOOKUP([1]!Table134526_79101120212223242526[[#This Row],[Name Surname]],[1]Manpower!$C$4:$C$1048576,[1]Manpower!$B$4:$B$1048576,"")</f>
        <v>Encogroup</v>
      </c>
      <c r="E303" s="11" t="s">
        <v>34</v>
      </c>
      <c r="F303" s="12">
        <f>_xlfn.XLOOKUP([1]!Table134526_79101120212223242526[[#This Row],[Name Surname]],[1]Manpower!C:C,[1]Manpower!D:D,)</f>
        <v>127414586</v>
      </c>
      <c r="G303" s="13" t="str">
        <f>_xlfn.XLOOKUP([1]!Table134526_79101120212223242526[[#This Row],[Name Surname]],[1]Manpower!$C$4:$C$1048576,[1]Manpower!$F$4:$F$1048576,"")</f>
        <v>Electrician</v>
      </c>
      <c r="H303" s="13" t="str">
        <f>_xlfn.XLOOKUP([1]!Table134526_79101120212223242526[[#This Row],[Name Surname]],[1]Manpower!$C$4:$C$1048576,[1]Manpower!$H$4:$H$1048576,"")</f>
        <v>Manpower</v>
      </c>
      <c r="I303" s="13" t="str">
        <f>_xlfn.XLOOKUP([1]!Table134526_79101120212223242526[[#This Row],[Name Surname]],[1]Manpower!$C$4:$C$1048576,[1]Manpower!$H$4:$H$1048576,"")</f>
        <v>Manpower</v>
      </c>
      <c r="J303" s="13" t="s">
        <v>23</v>
      </c>
      <c r="K303" s="13" t="s">
        <v>83</v>
      </c>
      <c r="L303" s="13" t="s">
        <v>25</v>
      </c>
      <c r="M303" s="13" t="s">
        <v>5</v>
      </c>
      <c r="N303" s="14">
        <v>10</v>
      </c>
      <c r="O303" s="13" t="s">
        <v>35</v>
      </c>
      <c r="P303" s="13" t="s">
        <v>35</v>
      </c>
      <c r="Q303" s="13" t="s">
        <v>35</v>
      </c>
      <c r="R303" s="13" t="s">
        <v>7</v>
      </c>
      <c r="S303" s="15"/>
    </row>
    <row r="304" spans="1:19" x14ac:dyDescent="0.3">
      <c r="A304" s="1" t="e">
        <f>IF(C304="","",MAX($A$2:A303)+1)</f>
        <v>#REF!</v>
      </c>
      <c r="B304" s="17" t="s">
        <v>36</v>
      </c>
      <c r="C304" s="3">
        <v>46093</v>
      </c>
      <c r="D304" s="5" t="str">
        <f>_xlfn.XLOOKUP([1]!Table134526_79101120212223242526[[#This Row],[Name Surname]],[1]Manpower!$C$4:$C$1048576,[1]Manpower!$B$4:$B$1048576,"")</f>
        <v>Encogroup</v>
      </c>
      <c r="E304" s="5" t="s">
        <v>37</v>
      </c>
      <c r="F304" s="4">
        <f>_xlfn.XLOOKUP([1]!Table134526_79101120212223242526[[#This Row],[Name Surname]],[1]Manpower!C:C,[1]Manpower!D:D,)</f>
        <v>141169085</v>
      </c>
      <c r="G304" s="5" t="str">
        <f>_xlfn.XLOOKUP([1]!Table134526_79101120212223242526[[#This Row],[Name Surname]],[1]Manpower!$C$4:$C$1048576,[1]Manpower!$F$4:$F$1048576,"")</f>
        <v>Welder</v>
      </c>
      <c r="H304" s="5" t="str">
        <f>_xlfn.XLOOKUP([1]!Table134526_79101120212223242526[[#This Row],[Name Surname]],[1]Manpower!$C$4:$C$1048576,[1]Manpower!$H$4:$H$1048576,"")</f>
        <v>Manpower</v>
      </c>
      <c r="I304" s="5" t="str">
        <f>_xlfn.XLOOKUP([1]!Table134526_79101120212223242526[[#This Row],[Name Surname]],[1]Manpower!$C$4:$C$1048576,[1]Manpower!$H$4:$H$1048576,"")</f>
        <v>Manpower</v>
      </c>
      <c r="J304" s="5" t="s">
        <v>38</v>
      </c>
      <c r="K304" s="5" t="s">
        <v>7</v>
      </c>
      <c r="L304" s="5" t="s">
        <v>39</v>
      </c>
      <c r="M304" s="5" t="s">
        <v>5</v>
      </c>
      <c r="N304" s="6">
        <v>10</v>
      </c>
      <c r="O304" s="5" t="s">
        <v>33</v>
      </c>
      <c r="P304" s="5" t="s">
        <v>33</v>
      </c>
      <c r="Q304" s="5" t="s">
        <v>33</v>
      </c>
      <c r="R304" s="5" t="s">
        <v>7</v>
      </c>
      <c r="S304" s="8"/>
    </row>
    <row r="305" spans="1:19" x14ac:dyDescent="0.3">
      <c r="A305" s="9" t="e">
        <f>IF(C305="","",MAX($A$2:A304)+1)</f>
        <v>#REF!</v>
      </c>
      <c r="B305" s="17" t="s">
        <v>36</v>
      </c>
      <c r="C305" s="11">
        <v>46093</v>
      </c>
      <c r="D305" s="13" t="str">
        <f>_xlfn.XLOOKUP([1]!Table134526_79101120212223242526[[#This Row],[Name Surname]],[1]Manpower!$C$4:$C$1048576,[1]Manpower!$B$4:$B$1048576,"")</f>
        <v>Encogroup</v>
      </c>
      <c r="E305" s="13" t="s">
        <v>40</v>
      </c>
      <c r="F305" s="12">
        <f>_xlfn.XLOOKUP([1]!Table134526_79101120212223242526[[#This Row],[Name Surname]],[1]Manpower!C:C,[1]Manpower!D:D,)</f>
        <v>141169047</v>
      </c>
      <c r="G305" s="13" t="str">
        <f>_xlfn.XLOOKUP([1]!Table134526_79101120212223242526[[#This Row],[Name Surname]],[1]Manpower!$C$4:$C$1048576,[1]Manpower!$F$4:$F$1048576,"")</f>
        <v>Welder</v>
      </c>
      <c r="H305" s="13" t="str">
        <f>_xlfn.XLOOKUP([1]!Table134526_79101120212223242526[[#This Row],[Name Surname]],[1]Manpower!$C$4:$C$1048576,[1]Manpower!$H$4:$H$1048576,"")</f>
        <v>Manpower</v>
      </c>
      <c r="I305" s="13" t="str">
        <f>_xlfn.XLOOKUP([1]!Table134526_79101120212223242526[[#This Row],[Name Surname]],[1]Manpower!$C$4:$C$1048576,[1]Manpower!$H$4:$H$1048576,"")</f>
        <v>Manpower</v>
      </c>
      <c r="J305" s="13" t="s">
        <v>38</v>
      </c>
      <c r="K305" s="13" t="s">
        <v>7</v>
      </c>
      <c r="L305" s="13" t="s">
        <v>39</v>
      </c>
      <c r="M305" s="13" t="s">
        <v>5</v>
      </c>
      <c r="N305" s="14">
        <v>10</v>
      </c>
      <c r="O305" s="13" t="s">
        <v>33</v>
      </c>
      <c r="P305" s="13" t="s">
        <v>33</v>
      </c>
      <c r="Q305" s="13" t="s">
        <v>33</v>
      </c>
      <c r="R305" s="13" t="s">
        <v>7</v>
      </c>
      <c r="S305" s="15"/>
    </row>
    <row r="306" spans="1:19" x14ac:dyDescent="0.3">
      <c r="A306" s="1" t="e">
        <f>IF(C306="","",MAX($A$2:A304)+1)</f>
        <v>#REF!</v>
      </c>
      <c r="B306" s="17" t="s">
        <v>36</v>
      </c>
      <c r="C306" s="3">
        <v>46093</v>
      </c>
      <c r="D306" s="5" t="str">
        <f>_xlfn.XLOOKUP([1]!Table134526_79101120212223242526[[#This Row],[Name Surname]],[1]Manpower!$C$4:$C$1048576,[1]Manpower!$B$4:$B$1048576,"")</f>
        <v>Encogroup</v>
      </c>
      <c r="E306" s="5" t="s">
        <v>41</v>
      </c>
      <c r="F306" s="4">
        <f>_xlfn.XLOOKUP([1]!Table134526_79101120212223242526[[#This Row],[Name Surname]],[1]Manpower!C:C,[1]Manpower!D:D,)</f>
        <v>140844797</v>
      </c>
      <c r="G306" s="5" t="str">
        <f>_xlfn.XLOOKUP([1]!Table134526_79101120212223242526[[#This Row],[Name Surname]],[1]Manpower!$C$4:$C$1048576,[1]Manpower!$F$4:$F$1048576,"")</f>
        <v>Fitter/Erector</v>
      </c>
      <c r="H306" s="5" t="str">
        <f>_xlfn.XLOOKUP([1]!Table134526_79101120212223242526[[#This Row],[Name Surname]],[1]Manpower!$C$4:$C$1048576,[1]Manpower!$H$4:$H$1048576,"")</f>
        <v>Manpower</v>
      </c>
      <c r="I306" s="5" t="str">
        <f>_xlfn.XLOOKUP([1]!Table134526_79101120212223242526[[#This Row],[Name Surname]],[1]Manpower!$C$4:$C$1048576,[1]Manpower!$H$4:$H$1048576,"")</f>
        <v>Manpower</v>
      </c>
      <c r="J306" s="5" t="s">
        <v>38</v>
      </c>
      <c r="K306" s="5" t="s">
        <v>7</v>
      </c>
      <c r="L306" s="5" t="s">
        <v>39</v>
      </c>
      <c r="M306" s="5" t="s">
        <v>18</v>
      </c>
      <c r="N306" s="6">
        <v>10</v>
      </c>
      <c r="O306" s="5"/>
      <c r="P306" s="5"/>
      <c r="Q306" s="5"/>
      <c r="R306" s="5" t="s">
        <v>75</v>
      </c>
      <c r="S306" s="8"/>
    </row>
    <row r="307" spans="1:19" x14ac:dyDescent="0.3">
      <c r="A307" s="9" t="e">
        <f>IF(C307="","",MAX($A$2:A306)+1)</f>
        <v>#REF!</v>
      </c>
      <c r="B307" s="17" t="s">
        <v>36</v>
      </c>
      <c r="C307" s="11">
        <v>46093</v>
      </c>
      <c r="D307" s="13" t="str">
        <f>_xlfn.XLOOKUP([1]!Table134526_79101120212223242526[[#This Row],[Name Surname]],[1]Manpower!$C$4:$C$1048576,[1]Manpower!$B$4:$B$1048576,"")</f>
        <v>Encogroup</v>
      </c>
      <c r="E307" s="13" t="s">
        <v>1</v>
      </c>
      <c r="F307" s="12" t="e">
        <f>_xlfn.XLOOKUP([1]!Table134526_79101120212223242526[[#This Row],[Name Surname]],[1]Manpower!C:C,[1]Manpower!D:D,)</f>
        <v>#N/A</v>
      </c>
      <c r="G307" s="13" t="str">
        <f>_xlfn.XLOOKUP([1]!Table134526_79101120212223242526[[#This Row],[Name Surname]],[1]Manpower!$C$4:$C$1048576,[1]Manpower!$F$4:$F$1048576,"")</f>
        <v>22KVA-Generator</v>
      </c>
      <c r="H307" s="13" t="str">
        <f>_xlfn.XLOOKUP([1]!Table134526_79101120212223242526[[#This Row],[Name Surname]],[1]Manpower!$C$4:$C$1048576,[1]Manpower!$H$4:$H$1048576,"")</f>
        <v>Equipment</v>
      </c>
      <c r="I307" s="13" t="str">
        <f>_xlfn.XLOOKUP([1]!Table134526_79101120212223242526[[#This Row],[Name Surname]],[1]Manpower!$C$4:$C$1048576,[1]Manpower!$H$4:$H$1048576,"")</f>
        <v>Equipment</v>
      </c>
      <c r="J307" s="13" t="s">
        <v>38</v>
      </c>
      <c r="K307" s="13" t="s">
        <v>7</v>
      </c>
      <c r="L307" s="13" t="s">
        <v>39</v>
      </c>
      <c r="M307" s="13" t="s">
        <v>5</v>
      </c>
      <c r="N307" s="14">
        <v>8</v>
      </c>
      <c r="O307" s="13" t="s">
        <v>11</v>
      </c>
      <c r="P307" s="13" t="s">
        <v>12</v>
      </c>
      <c r="Q307" s="13" t="s">
        <v>13</v>
      </c>
      <c r="R307" s="13" t="s">
        <v>92</v>
      </c>
      <c r="S307" s="15"/>
    </row>
    <row r="308" spans="1:19" x14ac:dyDescent="0.3">
      <c r="A308" s="1"/>
      <c r="B308" s="17" t="s">
        <v>36</v>
      </c>
      <c r="C308" s="3">
        <v>46093</v>
      </c>
      <c r="D308" s="5" t="str">
        <f>_xlfn.XLOOKUP([1]!Table134526_79101120212223242526[[#This Row],[Name Surname]],[1]Manpower!$C$4:$C$1048576,[1]Manpower!$B$4:$B$1048576,"")</f>
        <v>Bright Light</v>
      </c>
      <c r="E308" s="5" t="s">
        <v>45</v>
      </c>
      <c r="F308" s="4">
        <f>_xlfn.XLOOKUP([1]!Table134526_79101120212223242526[[#This Row],[Name Surname]],[1]Manpower!C:C,[1]Manpower!D:D,)</f>
        <v>114531608</v>
      </c>
      <c r="G308" s="5" t="str">
        <f>_xlfn.XLOOKUP([1]!Table134526_79101120212223242526[[#This Row],[Name Surname]],[1]Manpower!$C$4:$C$1048576,[1]Manpower!$F$4:$F$1048576,"")</f>
        <v>Crane Operator-150T Sany Crawler</v>
      </c>
      <c r="H308" s="5" t="str">
        <f>_xlfn.XLOOKUP([1]!Table134526_79101120212223242526[[#This Row],[Name Surname]],[1]Manpower!$C$4:$C$1048576,[1]Manpower!$H$4:$H$1048576,"")</f>
        <v>Manpower</v>
      </c>
      <c r="I308" s="5" t="str">
        <f>_xlfn.XLOOKUP([1]!Table134526_79101120212223242526[[#This Row],[Name Surname]],[1]Manpower!$C$4:$C$1048576,[1]Manpower!$H$4:$H$1048576,"")</f>
        <v>Manpower</v>
      </c>
      <c r="J308" s="5" t="s">
        <v>38</v>
      </c>
      <c r="K308" s="5" t="s">
        <v>7</v>
      </c>
      <c r="L308" s="5" t="s">
        <v>39</v>
      </c>
      <c r="M308" s="5" t="s">
        <v>5</v>
      </c>
      <c r="N308" s="6">
        <v>10</v>
      </c>
      <c r="O308" s="5" t="s">
        <v>11</v>
      </c>
      <c r="P308" s="5" t="s">
        <v>13</v>
      </c>
      <c r="Q308" s="5" t="s">
        <v>12</v>
      </c>
      <c r="R308" s="5" t="s">
        <v>79</v>
      </c>
      <c r="S308" s="8"/>
    </row>
    <row r="309" spans="1:19" x14ac:dyDescent="0.3">
      <c r="A309" s="9" t="e">
        <f>IF(C309="","",MAX($A$2:A308)+1)</f>
        <v>#REF!</v>
      </c>
      <c r="B309" s="17" t="s">
        <v>36</v>
      </c>
      <c r="C309" s="11">
        <v>46093</v>
      </c>
      <c r="D309" s="13" t="str">
        <f>_xlfn.XLOOKUP([1]!Table134526_79101120212223242526[[#This Row],[Name Surname]],[1]Manpower!$C$4:$C$1048576,[1]Manpower!$B$4:$B$1048576,"")</f>
        <v>AL Saif &amp; Al QALLM ENT LLC</v>
      </c>
      <c r="E309" s="13" t="s">
        <v>46</v>
      </c>
      <c r="F309" s="12">
        <f>_xlfn.XLOOKUP([1]!Table134526_79101120212223242526[[#This Row],[Name Surname]],[1]Manpower!C:C,[1]Manpower!D:D,)</f>
        <v>108478006</v>
      </c>
      <c r="G309" s="13" t="str">
        <f>_xlfn.XLOOKUP([1]!Table134526_79101120212223242526[[#This Row],[Name Surname]],[1]Manpower!$C$4:$C$1048576,[1]Manpower!$F$4:$F$1048576,"")</f>
        <v>RIgger</v>
      </c>
      <c r="H309" s="13" t="str">
        <f>_xlfn.XLOOKUP([1]!Table134526_79101120212223242526[[#This Row],[Name Surname]],[1]Manpower!$C$4:$C$1048576,[1]Manpower!$H$4:$H$1048576,"")</f>
        <v>Sub Contactor</v>
      </c>
      <c r="I309" s="13" t="str">
        <f>_xlfn.XLOOKUP([1]!Table134526_79101120212223242526[[#This Row],[Name Surname]],[1]Manpower!$C$4:$C$1048576,[1]Manpower!$H$4:$H$1048576,"")</f>
        <v>Sub Contactor</v>
      </c>
      <c r="J309" s="13" t="s">
        <v>38</v>
      </c>
      <c r="K309" s="13" t="s">
        <v>7</v>
      </c>
      <c r="L309" s="13" t="s">
        <v>39</v>
      </c>
      <c r="M309" s="13" t="s">
        <v>18</v>
      </c>
      <c r="N309" s="14">
        <v>8</v>
      </c>
      <c r="O309" s="13"/>
      <c r="P309" s="13"/>
      <c r="Q309" s="13"/>
      <c r="R309" s="13" t="s">
        <v>68</v>
      </c>
      <c r="S309" s="15"/>
    </row>
    <row r="310" spans="1:19" x14ac:dyDescent="0.3">
      <c r="A310" s="1" t="e">
        <f>IF(C310="","",MAX($A$2:A309)+1)</f>
        <v>#REF!</v>
      </c>
      <c r="B310" s="17" t="s">
        <v>36</v>
      </c>
      <c r="C310" s="3">
        <v>46093</v>
      </c>
      <c r="D310" s="5" t="str">
        <f>_xlfn.XLOOKUP([1]!Table134526_79101120212223242526[[#This Row],[Name Surname]],[1]Manpower!$C$4:$C$1048576,[1]Manpower!$B$4:$B$1048576,"")</f>
        <v>AL Omar International TRAD AND CONT</v>
      </c>
      <c r="E310" s="5" t="s">
        <v>48</v>
      </c>
      <c r="F310" s="4">
        <f>_xlfn.XLOOKUP([1]!Table134526_79101120212223242526[[#This Row],[Name Surname]],[1]Manpower!C:C,[1]Manpower!D:D,)</f>
        <v>115018512</v>
      </c>
      <c r="G310" s="5" t="str">
        <f>_xlfn.XLOOKUP([1]!Table134526_79101120212223242526[[#This Row],[Name Surname]],[1]Manpower!$C$4:$C$1048576,[1]Manpower!$F$4:$F$1048576,"")</f>
        <v>RIgger</v>
      </c>
      <c r="H310" s="5" t="str">
        <f>_xlfn.XLOOKUP([1]!Table134526_79101120212223242526[[#This Row],[Name Surname]],[1]Manpower!$C$4:$C$1048576,[1]Manpower!$H$4:$H$1048576,"")</f>
        <v>Sub Contactor</v>
      </c>
      <c r="I310" s="5" t="str">
        <f>_xlfn.XLOOKUP([1]!Table134526_79101120212223242526[[#This Row],[Name Surname]],[1]Manpower!$C$4:$C$1048576,[1]Manpower!$H$4:$H$1048576,"")</f>
        <v>Sub Contactor</v>
      </c>
      <c r="J310" s="5" t="s">
        <v>38</v>
      </c>
      <c r="K310" s="5" t="s">
        <v>7</v>
      </c>
      <c r="L310" s="5" t="s">
        <v>39</v>
      </c>
      <c r="M310" s="5" t="s">
        <v>5</v>
      </c>
      <c r="N310" s="6">
        <v>10</v>
      </c>
      <c r="O310" s="5" t="s">
        <v>33</v>
      </c>
      <c r="P310" s="5" t="s">
        <v>33</v>
      </c>
      <c r="Q310" s="5" t="s">
        <v>33</v>
      </c>
      <c r="R310" s="5" t="s">
        <v>7</v>
      </c>
      <c r="S310" s="8"/>
    </row>
    <row r="311" spans="1:19" x14ac:dyDescent="0.3">
      <c r="A311" s="9" t="e">
        <f>IF(C311="","",MAX($A$2:A310)+1)</f>
        <v>#REF!</v>
      </c>
      <c r="B311" s="17" t="s">
        <v>36</v>
      </c>
      <c r="C311" s="11">
        <v>46093</v>
      </c>
      <c r="D311" s="13" t="str">
        <f>_xlfn.XLOOKUP([1]!Table134526_79101120212223242526[[#This Row],[Name Surname]],[1]Manpower!$C$4:$C$1048576,[1]Manpower!$B$4:$B$1048576,"")</f>
        <v>Encogroup</v>
      </c>
      <c r="E311" s="13" t="s">
        <v>49</v>
      </c>
      <c r="F311" s="12">
        <f>_xlfn.XLOOKUP([1]!Table134526_79101120212223242526[[#This Row],[Name Surname]],[1]Manpower!C:C,[1]Manpower!D:D,)</f>
        <v>122082769</v>
      </c>
      <c r="G311" s="13" t="str">
        <f>_xlfn.XLOOKUP([1]!Table134526_79101120212223242526[[#This Row],[Name Surname]],[1]Manpower!$C$4:$C$1048576,[1]Manpower!$F$4:$F$1048576,"")</f>
        <v>Grinder</v>
      </c>
      <c r="H311" s="13" t="str">
        <f>_xlfn.XLOOKUP([1]!Table134526_79101120212223242526[[#This Row],[Name Surname]],[1]Manpower!$C$4:$C$1048576,[1]Manpower!$H$4:$H$1048576,"")</f>
        <v>Manpower</v>
      </c>
      <c r="I311" s="13" t="str">
        <f>_xlfn.XLOOKUP([1]!Table134526_79101120212223242526[[#This Row],[Name Surname]],[1]Manpower!$C$4:$C$1048576,[1]Manpower!$H$4:$H$1048576,"")</f>
        <v>Manpower</v>
      </c>
      <c r="J311" s="13" t="s">
        <v>38</v>
      </c>
      <c r="K311" s="13" t="s">
        <v>7</v>
      </c>
      <c r="L311" s="13" t="s">
        <v>39</v>
      </c>
      <c r="M311" s="13" t="s">
        <v>5</v>
      </c>
      <c r="N311" s="14">
        <v>10</v>
      </c>
      <c r="O311" s="13" t="s">
        <v>33</v>
      </c>
      <c r="P311" s="13" t="s">
        <v>33</v>
      </c>
      <c r="Q311" s="13" t="s">
        <v>33</v>
      </c>
      <c r="R311" s="13" t="s">
        <v>7</v>
      </c>
      <c r="S311" s="15"/>
    </row>
    <row r="312" spans="1:19" x14ac:dyDescent="0.3">
      <c r="A312" s="1" t="e">
        <f>IF(C312="","",MAX($A$2:A311)+1)</f>
        <v>#REF!</v>
      </c>
      <c r="B312" s="17" t="s">
        <v>36</v>
      </c>
      <c r="C312" s="3">
        <v>46093</v>
      </c>
      <c r="D312" s="5" t="str">
        <f>_xlfn.XLOOKUP([1]!Table134526_79101120212223242526[[#This Row],[Name Surname]],[1]Manpower!$C$4:$C$1048576,[1]Manpower!$B$4:$B$1048576,"")</f>
        <v>Encogroup</v>
      </c>
      <c r="E312" s="5" t="s">
        <v>50</v>
      </c>
      <c r="F312" s="4">
        <f>_xlfn.XLOOKUP([1]!Table134526_79101120212223242526[[#This Row],[Name Surname]],[1]Manpower!C:C,[1]Manpower!D:D,)</f>
        <v>116915582</v>
      </c>
      <c r="G312" s="5" t="str">
        <f>_xlfn.XLOOKUP([1]!Table134526_79101120212223242526[[#This Row],[Name Surname]],[1]Manpower!$C$4:$C$1048576,[1]Manpower!$F$4:$F$1048576,"")</f>
        <v>Mechanical Superintendent</v>
      </c>
      <c r="H312" s="5" t="str">
        <f>_xlfn.XLOOKUP([1]!Table134526_79101120212223242526[[#This Row],[Name Surname]],[1]Manpower!$C$4:$C$1048576,[1]Manpower!$H$4:$H$1048576,"")</f>
        <v>Manpower</v>
      </c>
      <c r="I312" s="5" t="str">
        <f>_xlfn.XLOOKUP([1]!Table134526_79101120212223242526[[#This Row],[Name Surname]],[1]Manpower!$C$4:$C$1048576,[1]Manpower!$H$4:$H$1048576,"")</f>
        <v>Manpower</v>
      </c>
      <c r="J312" s="5" t="s">
        <v>38</v>
      </c>
      <c r="K312" s="5" t="s">
        <v>7</v>
      </c>
      <c r="L312" s="5" t="s">
        <v>39</v>
      </c>
      <c r="M312" s="5" t="s">
        <v>5</v>
      </c>
      <c r="N312" s="6">
        <v>10</v>
      </c>
      <c r="O312" s="5"/>
      <c r="P312" s="5"/>
      <c r="Q312" s="5"/>
      <c r="R312" s="5" t="s">
        <v>7</v>
      </c>
      <c r="S312" s="8"/>
    </row>
    <row r="313" spans="1:19" x14ac:dyDescent="0.3">
      <c r="A313" s="9" t="e">
        <f>IF(C313="","",MAX($A$2:A312)+1)</f>
        <v>#REF!</v>
      </c>
      <c r="B313" s="17" t="s">
        <v>36</v>
      </c>
      <c r="C313" s="11">
        <v>46093</v>
      </c>
      <c r="D313" s="13" t="str">
        <f>_xlfn.XLOOKUP([1]!Table134526_79101120212223242526[[#This Row],[Name Surname]],[1]Manpower!$C$4:$C$1048576,[1]Manpower!$B$4:$B$1048576,"")</f>
        <v>Encogroup</v>
      </c>
      <c r="E313" s="11" t="s">
        <v>51</v>
      </c>
      <c r="F313" s="12">
        <f>_xlfn.XLOOKUP([1]!Table134526_79101120212223242526[[#This Row],[Name Surname]],[1]Manpower!C:C,[1]Manpower!D:D,)</f>
        <v>141169071</v>
      </c>
      <c r="G313" s="13" t="str">
        <f>_xlfn.XLOOKUP([1]!Table134526_79101120212223242526[[#This Row],[Name Surname]],[1]Manpower!$C$4:$C$1048576,[1]Manpower!$F$4:$F$1048576,"")</f>
        <v>Welding Supervisor</v>
      </c>
      <c r="H313" s="13" t="str">
        <f>_xlfn.XLOOKUP([1]!Table134526_79101120212223242526[[#This Row],[Name Surname]],[1]Manpower!$C$4:$C$1048576,[1]Manpower!$H$4:$H$1048576,"")</f>
        <v>Manpower</v>
      </c>
      <c r="I313" s="13" t="str">
        <f>_xlfn.XLOOKUP([1]!Table134526_79101120212223242526[[#This Row],[Name Surname]],[1]Manpower!$C$4:$C$1048576,[1]Manpower!$H$4:$H$1048576,"")</f>
        <v>Manpower</v>
      </c>
      <c r="J313" s="13" t="s">
        <v>38</v>
      </c>
      <c r="K313" s="13" t="s">
        <v>7</v>
      </c>
      <c r="L313" s="13" t="s">
        <v>39</v>
      </c>
      <c r="M313" s="13" t="s">
        <v>18</v>
      </c>
      <c r="N313" s="14">
        <v>10</v>
      </c>
      <c r="O313" s="13"/>
      <c r="P313" s="13"/>
      <c r="Q313" s="13"/>
      <c r="R313" s="13" t="s">
        <v>19</v>
      </c>
      <c r="S313" s="15"/>
    </row>
    <row r="314" spans="1:19" x14ac:dyDescent="0.3">
      <c r="A314" s="1" t="e">
        <f>IF(C314="","",MAX($A$2:A313)+1)</f>
        <v>#REF!</v>
      </c>
      <c r="B314" s="17" t="s">
        <v>36</v>
      </c>
      <c r="C314" s="3">
        <v>46093</v>
      </c>
      <c r="D314" s="5" t="str">
        <f>_xlfn.XLOOKUP([1]!Table134526_79101120212223242526[[#This Row],[Name Surname]],[1]Manpower!$C$4:$C$1048576,[1]Manpower!$B$4:$B$1048576,"")</f>
        <v>Encogroup</v>
      </c>
      <c r="E314" s="3" t="s">
        <v>52</v>
      </c>
      <c r="F314" s="4">
        <f>_xlfn.XLOOKUP([1]!Table134526_79101120212223242526[[#This Row],[Name Surname]],[1]Manpower!C:C,[1]Manpower!D:D,)</f>
        <v>141365126</v>
      </c>
      <c r="G314" s="5" t="str">
        <f>_xlfn.XLOOKUP([1]!Table134526_79101120212223242526[[#This Row],[Name Surname]],[1]Manpower!$C$4:$C$1048576,[1]Manpower!$F$4:$F$1048576,"")</f>
        <v>Helper</v>
      </c>
      <c r="H314" s="5" t="str">
        <f>_xlfn.XLOOKUP([1]!Table134526_79101120212223242526[[#This Row],[Name Surname]],[1]Manpower!$C$4:$C$1048576,[1]Manpower!$H$4:$H$1048576,"")</f>
        <v>Manpower</v>
      </c>
      <c r="I314" s="5" t="str">
        <f>_xlfn.XLOOKUP([1]!Table134526_79101120212223242526[[#This Row],[Name Surname]],[1]Manpower!$C$4:$C$1048576,[1]Manpower!$H$4:$H$1048576,"")</f>
        <v>Manpower</v>
      </c>
      <c r="J314" s="5" t="s">
        <v>38</v>
      </c>
      <c r="K314" s="5" t="s">
        <v>7</v>
      </c>
      <c r="L314" s="5" t="s">
        <v>39</v>
      </c>
      <c r="M314" s="5" t="s">
        <v>5</v>
      </c>
      <c r="N314" s="6">
        <v>10</v>
      </c>
      <c r="O314" s="5" t="s">
        <v>33</v>
      </c>
      <c r="P314" s="5" t="s">
        <v>33</v>
      </c>
      <c r="Q314" s="5" t="s">
        <v>33</v>
      </c>
      <c r="R314" s="5" t="s">
        <v>7</v>
      </c>
      <c r="S314" s="8"/>
    </row>
    <row r="315" spans="1:19" x14ac:dyDescent="0.3">
      <c r="A315" s="9" t="e">
        <f>IF(C315="","",MAX($A$2:A314)+1)</f>
        <v>#REF!</v>
      </c>
      <c r="B315" s="17" t="s">
        <v>36</v>
      </c>
      <c r="C315" s="11">
        <v>46093</v>
      </c>
      <c r="D315" s="13" t="str">
        <f>_xlfn.XLOOKUP([1]!Table134526_79101120212223242526[[#This Row],[Name Surname]],[1]Manpower!$C$4:$C$1048576,[1]Manpower!$B$4:$B$1048576,"")</f>
        <v>Bright Light</v>
      </c>
      <c r="E315" s="13" t="s">
        <v>53</v>
      </c>
      <c r="F315" s="12">
        <f>_xlfn.XLOOKUP([1]!Table134526_79101120212223242526[[#This Row],[Name Surname]],[1]Manpower!C:C,[1]Manpower!D:D,)</f>
        <v>81379273</v>
      </c>
      <c r="G315" s="13" t="str">
        <f>_xlfn.XLOOKUP([1]!Table134526_79101120212223242526[[#This Row],[Name Surname]],[1]Manpower!$C$4:$C$1048576,[1]Manpower!$F$4:$F$1048576,"")</f>
        <v>Crane Operator-100T Sany Telescopic</v>
      </c>
      <c r="H315" s="13" t="str">
        <f>_xlfn.XLOOKUP([1]!Table134526_79101120212223242526[[#This Row],[Name Surname]],[1]Manpower!$C$4:$C$1048576,[1]Manpower!$H$4:$H$1048576,"")</f>
        <v>Manpower</v>
      </c>
      <c r="I315" s="13" t="str">
        <f>_xlfn.XLOOKUP([1]!Table134526_79101120212223242526[[#This Row],[Name Surname]],[1]Manpower!$C$4:$C$1048576,[1]Manpower!$H$4:$H$1048576,"")</f>
        <v>Manpower</v>
      </c>
      <c r="J315" s="13" t="s">
        <v>38</v>
      </c>
      <c r="K315" s="13" t="s">
        <v>7</v>
      </c>
      <c r="L315" s="13" t="s">
        <v>39</v>
      </c>
      <c r="M315" s="13" t="s">
        <v>5</v>
      </c>
      <c r="N315" s="14">
        <v>10</v>
      </c>
      <c r="O315" s="13" t="s">
        <v>33</v>
      </c>
      <c r="P315" s="13" t="s">
        <v>33</v>
      </c>
      <c r="Q315" s="13" t="s">
        <v>33</v>
      </c>
      <c r="R315" s="13" t="s">
        <v>7</v>
      </c>
      <c r="S315" s="15"/>
    </row>
    <row r="316" spans="1:19" x14ac:dyDescent="0.3">
      <c r="A316" s="1" t="e">
        <f>IF(C316="","",MAX($A$2:A315)+1)</f>
        <v>#REF!</v>
      </c>
      <c r="B316" s="17" t="s">
        <v>36</v>
      </c>
      <c r="C316" s="3">
        <v>46093</v>
      </c>
      <c r="D316" s="5" t="str">
        <f>_xlfn.XLOOKUP([1]!Table134526_79101120212223242526[[#This Row],[Name Surname]],[1]Manpower!$C$4:$C$1048576,[1]Manpower!$B$4:$B$1048576,"")</f>
        <v>Encogroup</v>
      </c>
      <c r="E316" s="5" t="s">
        <v>54</v>
      </c>
      <c r="F316" s="4">
        <f>_xlfn.XLOOKUP([1]!Table134526_79101120212223242526[[#This Row],[Name Surname]],[1]Manpower!C:C,[1]Manpower!D:D,)</f>
        <v>140764706</v>
      </c>
      <c r="G316" s="5" t="str">
        <f>_xlfn.XLOOKUP([1]!Table134526_79101120212223242526[[#This Row],[Name Surname]],[1]Manpower!$C$4:$C$1048576,[1]Manpower!$F$4:$F$1048576,"")</f>
        <v>Rigger</v>
      </c>
      <c r="H316" s="5" t="str">
        <f>_xlfn.XLOOKUP([1]!Table134526_79101120212223242526[[#This Row],[Name Surname]],[1]Manpower!$C$4:$C$1048576,[1]Manpower!$H$4:$H$1048576,"")</f>
        <v>Manpower</v>
      </c>
      <c r="I316" s="5" t="str">
        <f>_xlfn.XLOOKUP([1]!Table134526_79101120212223242526[[#This Row],[Name Surname]],[1]Manpower!$C$4:$C$1048576,[1]Manpower!$H$4:$H$1048576,"")</f>
        <v>Manpower</v>
      </c>
      <c r="J316" s="5" t="s">
        <v>38</v>
      </c>
      <c r="K316" s="5" t="s">
        <v>7</v>
      </c>
      <c r="L316" s="5" t="s">
        <v>39</v>
      </c>
      <c r="M316" s="5" t="s">
        <v>5</v>
      </c>
      <c r="N316" s="6">
        <v>10</v>
      </c>
      <c r="O316" s="5" t="s">
        <v>33</v>
      </c>
      <c r="P316" s="5" t="s">
        <v>33</v>
      </c>
      <c r="Q316" s="5" t="s">
        <v>33</v>
      </c>
      <c r="R316" s="5" t="s">
        <v>7</v>
      </c>
      <c r="S316" s="8"/>
    </row>
    <row r="317" spans="1:19" x14ac:dyDescent="0.3">
      <c r="A317" s="9" t="e">
        <f>IF(C317="","",MAX($A$2:A316)+1)</f>
        <v>#REF!</v>
      </c>
      <c r="B317" s="17" t="s">
        <v>36</v>
      </c>
      <c r="C317" s="11">
        <v>46093</v>
      </c>
      <c r="D317" s="13" t="str">
        <f>_xlfn.XLOOKUP([1]!Table134526_79101120212223242526[[#This Row],[Name Surname]],[1]Manpower!$C$4:$C$1048576,[1]Manpower!$B$4:$B$1048576,"")</f>
        <v>Encogroup</v>
      </c>
      <c r="E317" s="13" t="s">
        <v>55</v>
      </c>
      <c r="F317" s="12">
        <f>_xlfn.XLOOKUP([1]!Table134526_79101120212223242526[[#This Row],[Name Surname]],[1]Manpower!C:C,[1]Manpower!D:D,)</f>
        <v>135325259</v>
      </c>
      <c r="G317" s="13" t="str">
        <f>_xlfn.XLOOKUP([1]!Table134526_79101120212223242526[[#This Row],[Name Surname]],[1]Manpower!$C$4:$C$1048576,[1]Manpower!$F$4:$F$1048576,"")</f>
        <v>Permit Receiver</v>
      </c>
      <c r="H317" s="13" t="str">
        <f>_xlfn.XLOOKUP([1]!Table134526_79101120212223242526[[#This Row],[Name Surname]],[1]Manpower!$C$4:$C$1048576,[1]Manpower!$H$4:$H$1048576,"")</f>
        <v>Manpower</v>
      </c>
      <c r="I317" s="13" t="str">
        <f>_xlfn.XLOOKUP([1]!Table134526_79101120212223242526[[#This Row],[Name Surname]],[1]Manpower!$C$4:$C$1048576,[1]Manpower!$H$4:$H$1048576,"")</f>
        <v>Manpower</v>
      </c>
      <c r="J317" s="13" t="s">
        <v>38</v>
      </c>
      <c r="K317" s="13" t="s">
        <v>7</v>
      </c>
      <c r="L317" s="13" t="s">
        <v>39</v>
      </c>
      <c r="M317" s="13" t="s">
        <v>5</v>
      </c>
      <c r="N317" s="14">
        <v>10</v>
      </c>
      <c r="O317" s="13" t="s">
        <v>33</v>
      </c>
      <c r="P317" s="13" t="s">
        <v>33</v>
      </c>
      <c r="Q317" s="13" t="s">
        <v>33</v>
      </c>
      <c r="R317" s="13" t="s">
        <v>7</v>
      </c>
      <c r="S317" s="15"/>
    </row>
    <row r="318" spans="1:19" x14ac:dyDescent="0.3">
      <c r="A318" s="1" t="e">
        <f>IF(C318="","",MAX($A$2:A317)+1)</f>
        <v>#REF!</v>
      </c>
      <c r="B318" s="17" t="s">
        <v>36</v>
      </c>
      <c r="C318" s="3">
        <v>46093</v>
      </c>
      <c r="D318" s="5" t="str">
        <f>_xlfn.XLOOKUP([1]!Table134526_79101120212223242526[[#This Row],[Name Surname]],[1]Manpower!$C$4:$C$1048576,[1]Manpower!$B$4:$B$1048576,"")</f>
        <v>Encogroup</v>
      </c>
      <c r="E318" s="5" t="s">
        <v>56</v>
      </c>
      <c r="F318" s="4">
        <f>_xlfn.XLOOKUP([1]!Table134526_79101120212223242526[[#This Row],[Name Surname]],[1]Manpower!C:C,[1]Manpower!D:D,)</f>
        <v>141365089</v>
      </c>
      <c r="G318" s="5" t="str">
        <f>_xlfn.XLOOKUP([1]!Table134526_79101120212223242526[[#This Row],[Name Surname]],[1]Manpower!$C$4:$C$1048576,[1]Manpower!$F$4:$F$1048576,"")</f>
        <v>Fitter</v>
      </c>
      <c r="H318" s="5" t="str">
        <f>_xlfn.XLOOKUP([1]!Table134526_79101120212223242526[[#This Row],[Name Surname]],[1]Manpower!$C$4:$C$1048576,[1]Manpower!$H$4:$H$1048576,"")</f>
        <v>Manpower</v>
      </c>
      <c r="I318" s="5" t="str">
        <f>_xlfn.XLOOKUP([1]!Table134526_79101120212223242526[[#This Row],[Name Surname]],[1]Manpower!$C$4:$C$1048576,[1]Manpower!$H$4:$H$1048576,"")</f>
        <v>Manpower</v>
      </c>
      <c r="J318" s="5" t="s">
        <v>38</v>
      </c>
      <c r="K318" s="5" t="s">
        <v>7</v>
      </c>
      <c r="L318" s="5" t="s">
        <v>39</v>
      </c>
      <c r="M318" s="5" t="s">
        <v>5</v>
      </c>
      <c r="N318" s="6">
        <v>10</v>
      </c>
      <c r="O318" s="5" t="s">
        <v>33</v>
      </c>
      <c r="P318" s="5" t="s">
        <v>33</v>
      </c>
      <c r="Q318" s="5" t="s">
        <v>33</v>
      </c>
      <c r="R318" s="5" t="s">
        <v>7</v>
      </c>
      <c r="S318" s="8"/>
    </row>
    <row r="319" spans="1:19" x14ac:dyDescent="0.3">
      <c r="A319" s="9" t="e">
        <f>IF(C319="","",MAX($A$2:A318)+1)</f>
        <v>#REF!</v>
      </c>
      <c r="B319" s="17" t="s">
        <v>36</v>
      </c>
      <c r="C319" s="11">
        <v>46093</v>
      </c>
      <c r="D319" s="13" t="str">
        <f>_xlfn.XLOOKUP([1]!Table134526_79101120212223242526[[#This Row],[Name Surname]],[1]Manpower!$C$4:$C$1048576,[1]Manpower!$B$4:$B$1048576,"")</f>
        <v>Encogroup</v>
      </c>
      <c r="E319" s="13" t="s">
        <v>57</v>
      </c>
      <c r="F319" s="12">
        <f>_xlfn.XLOOKUP([1]!Table134526_79101120212223242526[[#This Row],[Name Surname]],[1]Manpower!C:C,[1]Manpower!D:D,)</f>
        <v>122179604</v>
      </c>
      <c r="G319" s="13" t="str">
        <f>_xlfn.XLOOKUP([1]!Table134526_79101120212223242526[[#This Row],[Name Surname]],[1]Manpower!$C$4:$C$1048576,[1]Manpower!$F$4:$F$1048576,"")</f>
        <v>Fitter/Erector</v>
      </c>
      <c r="H319" s="13" t="str">
        <f>_xlfn.XLOOKUP([1]!Table134526_79101120212223242526[[#This Row],[Name Surname]],[1]Manpower!$C$4:$C$1048576,[1]Manpower!$H$4:$H$1048576,"")</f>
        <v>Manpower</v>
      </c>
      <c r="I319" s="13" t="str">
        <f>_xlfn.XLOOKUP([1]!Table134526_79101120212223242526[[#This Row],[Name Surname]],[1]Manpower!$C$4:$C$1048576,[1]Manpower!$H$4:$H$1048576,"")</f>
        <v>Manpower</v>
      </c>
      <c r="J319" s="13" t="s">
        <v>38</v>
      </c>
      <c r="K319" s="13" t="s">
        <v>7</v>
      </c>
      <c r="L319" s="13" t="s">
        <v>39</v>
      </c>
      <c r="M319" s="13" t="s">
        <v>5</v>
      </c>
      <c r="N319" s="14">
        <v>8</v>
      </c>
      <c r="O319" s="13" t="s">
        <v>11</v>
      </c>
      <c r="P319" s="13" t="s">
        <v>13</v>
      </c>
      <c r="Q319" s="13" t="s">
        <v>13</v>
      </c>
      <c r="R319" s="13" t="s">
        <v>7</v>
      </c>
      <c r="S319" s="15"/>
    </row>
    <row r="320" spans="1:19" x14ac:dyDescent="0.3">
      <c r="A320" s="1" t="e">
        <f>IF(C320="","",MAX($A$2:A319)+1)</f>
        <v>#REF!</v>
      </c>
      <c r="B320" s="17" t="s">
        <v>36</v>
      </c>
      <c r="C320" s="3">
        <v>46093</v>
      </c>
      <c r="D320" s="5" t="str">
        <f>_xlfn.XLOOKUP([1]!Table134526_79101120212223242526[[#This Row],[Name Surname]],[1]Manpower!$C$4:$C$1048576,[1]Manpower!$B$4:$B$1048576,"")</f>
        <v>Encogroup</v>
      </c>
      <c r="E320" s="3" t="s">
        <v>58</v>
      </c>
      <c r="F320" s="4">
        <f>_xlfn.XLOOKUP([1]!Table134526_79101120212223242526[[#This Row],[Name Surname]],[1]Manpower!C:C,[1]Manpower!D:D,)</f>
        <v>117255966</v>
      </c>
      <c r="G320" s="5" t="str">
        <f>_xlfn.XLOOKUP([1]!Table134526_79101120212223242526[[#This Row],[Name Surname]],[1]Manpower!$C$4:$C$1048576,[1]Manpower!$F$4:$F$1048576,"")</f>
        <v>Mechanical Supervisor</v>
      </c>
      <c r="H320" s="5" t="str">
        <f>_xlfn.XLOOKUP([1]!Table134526_79101120212223242526[[#This Row],[Name Surname]],[1]Manpower!$C$4:$C$1048576,[1]Manpower!$H$4:$H$1048576,"")</f>
        <v>Manpower</v>
      </c>
      <c r="I320" s="5" t="str">
        <f>_xlfn.XLOOKUP([1]!Table134526_79101120212223242526[[#This Row],[Name Surname]],[1]Manpower!$C$4:$C$1048576,[1]Manpower!$H$4:$H$1048576,"")</f>
        <v>Manpower</v>
      </c>
      <c r="J320" s="5" t="s">
        <v>38</v>
      </c>
      <c r="K320" s="5" t="s">
        <v>7</v>
      </c>
      <c r="L320" s="5" t="s">
        <v>39</v>
      </c>
      <c r="M320" s="5" t="s">
        <v>18</v>
      </c>
      <c r="N320" s="6">
        <v>10</v>
      </c>
      <c r="O320" s="5"/>
      <c r="P320" s="5"/>
      <c r="Q320" s="5"/>
      <c r="R320" s="5" t="s">
        <v>19</v>
      </c>
      <c r="S320" s="8"/>
    </row>
    <row r="321" spans="1:19" x14ac:dyDescent="0.3">
      <c r="A321" s="9" t="e">
        <f>IF(C321="","",MAX($A$2:A320)+1)</f>
        <v>#REF!</v>
      </c>
      <c r="B321" s="17" t="s">
        <v>36</v>
      </c>
      <c r="C321" s="11">
        <v>46093</v>
      </c>
      <c r="D321" s="13" t="str">
        <f>_xlfn.XLOOKUP([1]!Table134526_79101120212223242526[[#This Row],[Name Surname]],[1]Manpower!$C$4:$C$1048576,[1]Manpower!$B$4:$B$1048576,"")</f>
        <v>Encogroup</v>
      </c>
      <c r="E321" s="11" t="s">
        <v>59</v>
      </c>
      <c r="F321" s="12" t="e">
        <f>_xlfn.XLOOKUP([1]!Table134526_79101120212223242526[[#This Row],[Name Surname]],[1]Manpower!C:C,[1]Manpower!D:D,)</f>
        <v>#N/A</v>
      </c>
      <c r="G321" s="13" t="str">
        <f>_xlfn.XLOOKUP([1]!Table134526_79101120212223242526[[#This Row],[Name Surname]],[1]Manpower!$C$4:$C$1048576,[1]Manpower!$F$4:$F$1048576,"")</f>
        <v>22M-Manlift</v>
      </c>
      <c r="H321" s="13" t="str">
        <f>_xlfn.XLOOKUP([1]!Table134526_79101120212223242526[[#This Row],[Name Surname]],[1]Manpower!$C$4:$C$1048576,[1]Manpower!$H$4:$H$1048576,"")</f>
        <v>Equipment</v>
      </c>
      <c r="I321" s="13" t="str">
        <f>_xlfn.XLOOKUP([1]!Table134526_79101120212223242526[[#This Row],[Name Surname]],[1]Manpower!$C$4:$C$1048576,[1]Manpower!$H$4:$H$1048576,"")</f>
        <v>Equipment</v>
      </c>
      <c r="J321" s="13" t="s">
        <v>38</v>
      </c>
      <c r="K321" s="13" t="s">
        <v>7</v>
      </c>
      <c r="L321" s="13" t="s">
        <v>39</v>
      </c>
      <c r="M321" s="13" t="s">
        <v>18</v>
      </c>
      <c r="N321" s="14">
        <v>10</v>
      </c>
      <c r="O321" s="13"/>
      <c r="P321" s="13"/>
      <c r="Q321" s="13"/>
      <c r="R321" s="13" t="s">
        <v>19</v>
      </c>
      <c r="S321" s="15"/>
    </row>
    <row r="322" spans="1:19" x14ac:dyDescent="0.3">
      <c r="A322" s="1" t="e">
        <f>IF(C322="","",MAX($A$2:A321)+1)</f>
        <v>#REF!</v>
      </c>
      <c r="B322" s="2" t="s">
        <v>0</v>
      </c>
      <c r="C322" s="3">
        <v>46095</v>
      </c>
      <c r="D322" s="5" t="str">
        <f>_xlfn.XLOOKUP([1]!Table134526_79101120212223242526[[#This Row],[Name Surname]],[1]Manpower!$C$4:$C$1048576,[1]Manpower!$B$4:$B$1048576,"")</f>
        <v>Encogroup</v>
      </c>
      <c r="E322" s="5" t="s">
        <v>43</v>
      </c>
      <c r="F322" s="4" t="e">
        <f>_xlfn.XLOOKUP([1]!Table134526_79101120212223242526[[#This Row],[Name Surname]],[1]Manpower!C:C,[1]Manpower!D:D,)</f>
        <v>#N/A</v>
      </c>
      <c r="G322" s="5" t="str">
        <f>_xlfn.XLOOKUP([1]!Table134526_79101120212223242526[[#This Row],[Name Surname]],[1]Manpower!$C$4:$C$1048576,[1]Manpower!$F$4:$F$1048576,"")</f>
        <v>22M-Manlift</v>
      </c>
      <c r="H322" s="5" t="str">
        <f>_xlfn.XLOOKUP([1]!Table134526_79101120212223242526[[#This Row],[Name Surname]],[1]Manpower!$C$4:$C$1048576,[1]Manpower!$H$4:$H$1048576,"")</f>
        <v>Equipment</v>
      </c>
      <c r="I322" s="5" t="str">
        <f>_xlfn.XLOOKUP([1]!Table134526_79101120212223242526[[#This Row],[Name Surname]],[1]Manpower!$C$4:$C$1048576,[1]Manpower!$H$4:$H$1048576,"")</f>
        <v>Equipment</v>
      </c>
      <c r="J322" s="5" t="s">
        <v>2</v>
      </c>
      <c r="K322" s="5" t="s">
        <v>64</v>
      </c>
      <c r="L322" s="5" t="s">
        <v>10</v>
      </c>
      <c r="M322" s="5" t="s">
        <v>18</v>
      </c>
      <c r="N322" s="6">
        <v>10</v>
      </c>
      <c r="O322" s="5"/>
      <c r="P322" s="5"/>
      <c r="Q322" s="5"/>
      <c r="R322" s="5" t="s">
        <v>93</v>
      </c>
      <c r="S322" s="8"/>
    </row>
    <row r="323" spans="1:19" x14ac:dyDescent="0.3">
      <c r="A323" s="9" t="e">
        <f>IF(C323="","",MAX($A$2:A322)+1)</f>
        <v>#REF!</v>
      </c>
      <c r="B323" s="2" t="s">
        <v>0</v>
      </c>
      <c r="C323" s="11">
        <v>46095</v>
      </c>
      <c r="D323" s="13" t="str">
        <f>_xlfn.XLOOKUP([1]!Table134526_79101120212223242526[[#This Row],[Name Surname]],[1]Manpower!$C$4:$C$1048576,[1]Manpower!$B$4:$B$1048576,"")</f>
        <v>Nass Group</v>
      </c>
      <c r="E323" s="13" t="s">
        <v>15</v>
      </c>
      <c r="F323" s="12" t="e">
        <f>_xlfn.XLOOKUP([1]!Table134526_79101120212223242526[[#This Row],[Name Surname]],[1]Manpower!C:C,[1]Manpower!D:D,)</f>
        <v>#N/A</v>
      </c>
      <c r="G323" s="13" t="str">
        <f>_xlfn.XLOOKUP([1]!Table134526_79101120212223242526[[#This Row],[Name Surname]],[1]Manpower!$C$4:$C$1048576,[1]Manpower!$F$4:$F$1048576,"")</f>
        <v>70T-Telescopic crane</v>
      </c>
      <c r="H323" s="13" t="str">
        <f>_xlfn.XLOOKUP([1]!Table134526_79101120212223242526[[#This Row],[Name Surname]],[1]Manpower!$C$4:$C$1048576,[1]Manpower!$H$4:$H$1048576,"")</f>
        <v>Equipment</v>
      </c>
      <c r="I323" s="13" t="str">
        <f>_xlfn.XLOOKUP([1]!Table134526_79101120212223242526[[#This Row],[Name Surname]],[1]Manpower!$C$4:$C$1048576,[1]Manpower!$H$4:$H$1048576,"")</f>
        <v>Equipment</v>
      </c>
      <c r="J323" s="13" t="s">
        <v>2</v>
      </c>
      <c r="K323" s="13" t="s">
        <v>87</v>
      </c>
      <c r="L323" s="13" t="s">
        <v>4</v>
      </c>
      <c r="M323" s="13" t="s">
        <v>18</v>
      </c>
      <c r="N323" s="14">
        <v>10</v>
      </c>
      <c r="O323" s="13"/>
      <c r="P323" s="13"/>
      <c r="Q323" s="13"/>
      <c r="R323" s="13" t="s">
        <v>93</v>
      </c>
      <c r="S323" s="15"/>
    </row>
    <row r="324" spans="1:19" x14ac:dyDescent="0.3">
      <c r="A324" s="1" t="e">
        <f>IF(C324="","",MAX($A$2:A323)+1)</f>
        <v>#REF!</v>
      </c>
      <c r="B324" s="10" t="s">
        <v>0</v>
      </c>
      <c r="C324" s="3">
        <v>46095</v>
      </c>
      <c r="D324" s="5" t="str">
        <f>_xlfn.XLOOKUP([1]!Table134526_79101120212223242526[[#This Row],[Name Surname]],[1]Manpower!$C$4:$C$1048576,[1]Manpower!$B$4:$B$1048576,"")</f>
        <v>Encogroup</v>
      </c>
      <c r="E324" s="3" t="s">
        <v>61</v>
      </c>
      <c r="F324" s="4">
        <f>_xlfn.XLOOKUP([1]!Table134526_79101120212223242526[[#This Row],[Name Surname]],[1]Manpower!C:C,[1]Manpower!D:D,)</f>
        <v>126724428</v>
      </c>
      <c r="G324" s="5" t="str">
        <f>_xlfn.XLOOKUP([1]!Table134526_79101120212223242526[[#This Row],[Name Surname]],[1]Manpower!$C$4:$C$1048576,[1]Manpower!$F$4:$F$1048576,"")</f>
        <v>Surveyor</v>
      </c>
      <c r="H324" s="5" t="str">
        <f>_xlfn.XLOOKUP([1]!Table134526_79101120212223242526[[#This Row],[Name Surname]],[1]Manpower!$C$4:$C$1048576,[1]Manpower!$H$4:$H$1048576,"")</f>
        <v>Manpower</v>
      </c>
      <c r="I324" s="5" t="str">
        <f>_xlfn.XLOOKUP([1]!Table134526_79101120212223242526[[#This Row],[Name Surname]],[1]Manpower!$C$4:$C$1048576,[1]Manpower!$H$4:$H$1048576,"")</f>
        <v>Manpower</v>
      </c>
      <c r="J324" s="5" t="s">
        <v>9</v>
      </c>
      <c r="K324" s="5" t="s">
        <v>7</v>
      </c>
      <c r="L324" s="5" t="s">
        <v>10</v>
      </c>
      <c r="M324" s="5" t="s">
        <v>18</v>
      </c>
      <c r="N324" s="6">
        <v>10</v>
      </c>
      <c r="O324" s="5"/>
      <c r="P324" s="5"/>
      <c r="Q324" s="5"/>
      <c r="R324" s="5" t="s">
        <v>93</v>
      </c>
      <c r="S324" s="8"/>
    </row>
    <row r="325" spans="1:19" x14ac:dyDescent="0.3">
      <c r="A325" s="9" t="e">
        <f>IF(C325="","",MAX($A$2:A324)+1)</f>
        <v>#REF!</v>
      </c>
      <c r="B325" s="10" t="s">
        <v>0</v>
      </c>
      <c r="C325" s="11">
        <v>46095</v>
      </c>
      <c r="D325" s="13" t="str">
        <f>_xlfn.XLOOKUP([1]!Table134526_79101120212223242526[[#This Row],[Name Surname]],[1]Manpower!$C$4:$C$1048576,[1]Manpower!$B$4:$B$1048576,"")</f>
        <v>Encogroup</v>
      </c>
      <c r="E325" s="13" t="s">
        <v>8</v>
      </c>
      <c r="F325" s="12">
        <f>_xlfn.XLOOKUP([1]!Table134526_79101120212223242526[[#This Row],[Name Surname]],[1]Manpower!C:C,[1]Manpower!D:D,)</f>
        <v>132915855</v>
      </c>
      <c r="G325" s="13" t="str">
        <f>_xlfn.XLOOKUP([1]!Table134526_79101120212223242526[[#This Row],[Name Surname]],[1]Manpower!$C$4:$C$1048576,[1]Manpower!$F$4:$F$1048576,"")</f>
        <v>Mechanical Supervisor</v>
      </c>
      <c r="H325" s="13" t="str">
        <f>_xlfn.XLOOKUP([1]!Table134526_79101120212223242526[[#This Row],[Name Surname]],[1]Manpower!$C$4:$C$1048576,[1]Manpower!$H$4:$H$1048576,"")</f>
        <v>Manpower</v>
      </c>
      <c r="I325" s="13" t="str">
        <f>_xlfn.XLOOKUP([1]!Table134526_79101120212223242526[[#This Row],[Name Surname]],[1]Manpower!$C$4:$C$1048576,[1]Manpower!$H$4:$H$1048576,"")</f>
        <v>Manpower</v>
      </c>
      <c r="J325" s="13" t="s">
        <v>9</v>
      </c>
      <c r="K325" s="13" t="s">
        <v>7</v>
      </c>
      <c r="L325" s="13" t="s">
        <v>10</v>
      </c>
      <c r="M325" s="13" t="s">
        <v>18</v>
      </c>
      <c r="N325" s="14">
        <v>10</v>
      </c>
      <c r="O325" s="13"/>
      <c r="P325" s="13"/>
      <c r="Q325" s="13"/>
      <c r="R325" s="13" t="s">
        <v>93</v>
      </c>
      <c r="S325" s="15"/>
    </row>
    <row r="326" spans="1:19" x14ac:dyDescent="0.3">
      <c r="A326" s="1" t="e">
        <f>IF(C326="","",MAX($A$2:A325)+1)</f>
        <v>#REF!</v>
      </c>
      <c r="B326" s="10" t="s">
        <v>0</v>
      </c>
      <c r="C326" s="3">
        <v>46095</v>
      </c>
      <c r="D326" s="5" t="str">
        <f>_xlfn.XLOOKUP([1]!Table134526_79101120212223242526[[#This Row],[Name Surname]],[1]Manpower!$C$4:$C$1048576,[1]Manpower!$B$4:$B$1048576,"")</f>
        <v>Encogroup</v>
      </c>
      <c r="E326" s="5" t="s">
        <v>17</v>
      </c>
      <c r="F326" s="4">
        <f>_xlfn.XLOOKUP([1]!Table134526_79101120212223242526[[#This Row],[Name Surname]],[1]Manpower!C:C,[1]Manpower!D:D,)</f>
        <v>141377747</v>
      </c>
      <c r="G326" s="5" t="str">
        <f>_xlfn.XLOOKUP([1]!Table134526_79101120212223242526[[#This Row],[Name Surname]],[1]Manpower!$C$4:$C$1048576,[1]Manpower!$F$4:$F$1048576,"")</f>
        <v>Painter</v>
      </c>
      <c r="H326" s="5" t="str">
        <f>_xlfn.XLOOKUP([1]!Table134526_79101120212223242526[[#This Row],[Name Surname]],[1]Manpower!$C$4:$C$1048576,[1]Manpower!$H$4:$H$1048576,"")</f>
        <v>Manpower</v>
      </c>
      <c r="I326" s="5" t="str">
        <f>_xlfn.XLOOKUP([1]!Table134526_79101120212223242526[[#This Row],[Name Surname]],[1]Manpower!$C$4:$C$1048576,[1]Manpower!$H$4:$H$1048576,"")</f>
        <v>Manpower</v>
      </c>
      <c r="J326" s="5" t="s">
        <v>9</v>
      </c>
      <c r="K326" s="5" t="s">
        <v>7</v>
      </c>
      <c r="L326" s="5" t="s">
        <v>10</v>
      </c>
      <c r="M326" s="5" t="s">
        <v>18</v>
      </c>
      <c r="N326" s="6">
        <v>10</v>
      </c>
      <c r="O326" s="5"/>
      <c r="P326" s="5"/>
      <c r="Q326" s="5"/>
      <c r="R326" s="5" t="s">
        <v>93</v>
      </c>
      <c r="S326" s="8"/>
    </row>
    <row r="327" spans="1:19" x14ac:dyDescent="0.3">
      <c r="A327" s="9" t="e">
        <f>IF(C327="","",MAX($A$2:A326)+1)</f>
        <v>#REF!</v>
      </c>
      <c r="B327" s="10" t="s">
        <v>0</v>
      </c>
      <c r="C327" s="11">
        <v>46095</v>
      </c>
      <c r="D327" s="11" t="str">
        <f>_xlfn.XLOOKUP([1]!Table134526_79101120212223242526[[#This Row],[Name Surname]],[1]Manpower!$C$4:$C$1048576,[1]Manpower!$B$4:$B$1048576,"")</f>
        <v>Encogroup</v>
      </c>
      <c r="E327" s="11" t="s">
        <v>20</v>
      </c>
      <c r="F327" s="12">
        <f>_xlfn.XLOOKUP([1]!Table134526_79101120212223242526[[#This Row],[Name Surname]],[1]Manpower!C:C,[1]Manpower!D:D,)</f>
        <v>141359235</v>
      </c>
      <c r="G327" s="11" t="str">
        <f>_xlfn.XLOOKUP([1]!Table134526_79101120212223242526[[#This Row],[Name Surname]],[1]Manpower!$C$4:$C$1048576,[1]Manpower!$F$4:$F$1048576,"")</f>
        <v>Fitter</v>
      </c>
      <c r="H327" s="11" t="str">
        <f>_xlfn.XLOOKUP([1]!Table134526_79101120212223242526[[#This Row],[Name Surname]],[1]Manpower!$C$4:$C$1048576,[1]Manpower!$H$4:$H$1048576,"")</f>
        <v>Manpower</v>
      </c>
      <c r="I327" s="11" t="str">
        <f>_xlfn.XLOOKUP([1]!Table134526_79101120212223242526[[#This Row],[Name Surname]],[1]Manpower!$C$4:$C$1048576,[1]Manpower!$H$4:$H$1048576,"")</f>
        <v>Manpower</v>
      </c>
      <c r="J327" s="13" t="s">
        <v>9</v>
      </c>
      <c r="K327" s="13" t="s">
        <v>7</v>
      </c>
      <c r="L327" s="13" t="s">
        <v>10</v>
      </c>
      <c r="M327" s="13" t="s">
        <v>18</v>
      </c>
      <c r="N327" s="14">
        <v>10</v>
      </c>
      <c r="O327" s="13"/>
      <c r="P327" s="13"/>
      <c r="Q327" s="13"/>
      <c r="R327" s="13" t="s">
        <v>93</v>
      </c>
      <c r="S327" s="15"/>
    </row>
    <row r="328" spans="1:19" x14ac:dyDescent="0.3">
      <c r="A328" s="1" t="e">
        <f>IF(C328="","",MAX($A$2:A327)+1)</f>
        <v>#REF!</v>
      </c>
      <c r="B328" s="16" t="s">
        <v>21</v>
      </c>
      <c r="C328" s="3">
        <v>46095</v>
      </c>
      <c r="D328" s="5" t="str">
        <f>_xlfn.XLOOKUP([1]!Table134526_79101120212223242526[[#This Row],[Name Surname]],[1]Manpower!$C$4:$C$1048576,[1]Manpower!$B$4:$B$1048576,"")</f>
        <v>Encogroup</v>
      </c>
      <c r="E328" s="5" t="s">
        <v>22</v>
      </c>
      <c r="F328" s="4">
        <f>_xlfn.XLOOKUP([1]!Table134526_79101120212223242526[[#This Row],[Name Surname]],[1]Manpower!C:C,[1]Manpower!D:D,)</f>
        <v>140697025</v>
      </c>
      <c r="G328" s="5" t="str">
        <f>_xlfn.XLOOKUP([1]!Table134526_79101120212223242526[[#This Row],[Name Surname]],[1]Manpower!$C$4:$C$1048576,[1]Manpower!$F$4:$F$1048576,"")</f>
        <v>Assistant/Helper</v>
      </c>
      <c r="H328" s="5" t="str">
        <f>_xlfn.XLOOKUP([1]!Table134526_79101120212223242526[[#This Row],[Name Surname]],[1]Manpower!$C$4:$C$1048576,[1]Manpower!$H$4:$H$1048576,"")</f>
        <v>Manpower</v>
      </c>
      <c r="I328" s="5" t="str">
        <f>_xlfn.XLOOKUP([1]!Table134526_79101120212223242526[[#This Row],[Name Surname]],[1]Manpower!$C$4:$C$1048576,[1]Manpower!$H$4:$H$1048576,"")</f>
        <v>Manpower</v>
      </c>
      <c r="J328" s="5" t="s">
        <v>23</v>
      </c>
      <c r="K328" s="5" t="s">
        <v>69</v>
      </c>
      <c r="L328" s="5" t="s">
        <v>25</v>
      </c>
      <c r="M328" s="5" t="s">
        <v>18</v>
      </c>
      <c r="N328" s="6">
        <v>10</v>
      </c>
      <c r="O328" s="5"/>
      <c r="P328" s="5"/>
      <c r="Q328" s="5"/>
      <c r="R328" s="5" t="s">
        <v>93</v>
      </c>
      <c r="S328" s="8"/>
    </row>
    <row r="329" spans="1:19" x14ac:dyDescent="0.3">
      <c r="A329" s="9" t="e">
        <f>IF(C329="","",MAX($A$2:A328)+1)</f>
        <v>#REF!</v>
      </c>
      <c r="B329" s="16" t="s">
        <v>21</v>
      </c>
      <c r="C329" s="11">
        <v>46095</v>
      </c>
      <c r="D329" s="13" t="str">
        <f>_xlfn.XLOOKUP([1]!Table134526_79101120212223242526[[#This Row],[Name Surname]],[1]Manpower!$C$4:$C$1048576,[1]Manpower!$B$4:$B$1048576,"")</f>
        <v>Encogroup</v>
      </c>
      <c r="E329" s="13" t="s">
        <v>28</v>
      </c>
      <c r="F329" s="12">
        <f>_xlfn.XLOOKUP([1]!Table134526_79101120212223242526[[#This Row],[Name Surname]],[1]Manpower!C:C,[1]Manpower!D:D,)</f>
        <v>141169052</v>
      </c>
      <c r="G329" s="13" t="str">
        <f>_xlfn.XLOOKUP([1]!Table134526_79101120212223242526[[#This Row],[Name Surname]],[1]Manpower!$C$4:$C$1048576,[1]Manpower!$F$4:$F$1048576,"")</f>
        <v>Welder</v>
      </c>
      <c r="H329" s="13" t="str">
        <f>_xlfn.XLOOKUP([1]!Table134526_79101120212223242526[[#This Row],[Name Surname]],[1]Manpower!$C$4:$C$1048576,[1]Manpower!$H$4:$H$1048576,"")</f>
        <v>Manpower</v>
      </c>
      <c r="I329" s="13" t="str">
        <f>_xlfn.XLOOKUP([1]!Table134526_79101120212223242526[[#This Row],[Name Surname]],[1]Manpower!$C$4:$C$1048576,[1]Manpower!$H$4:$H$1048576,"")</f>
        <v>Manpower</v>
      </c>
      <c r="J329" s="13" t="s">
        <v>23</v>
      </c>
      <c r="K329" s="13" t="s">
        <v>69</v>
      </c>
      <c r="L329" s="13" t="s">
        <v>25</v>
      </c>
      <c r="M329" s="13" t="s">
        <v>18</v>
      </c>
      <c r="N329" s="14">
        <v>10</v>
      </c>
      <c r="O329" s="13"/>
      <c r="P329" s="13"/>
      <c r="Q329" s="13"/>
      <c r="R329" s="13" t="s">
        <v>93</v>
      </c>
      <c r="S329" s="15"/>
    </row>
    <row r="330" spans="1:19" x14ac:dyDescent="0.3">
      <c r="A330" s="1" t="e">
        <f>IF(C330="","",MAX($A$2:A329)+1)</f>
        <v>#REF!</v>
      </c>
      <c r="B330" s="16" t="s">
        <v>21</v>
      </c>
      <c r="C330" s="3">
        <v>46095</v>
      </c>
      <c r="D330" s="5" t="str">
        <f>_xlfn.XLOOKUP([1]!Table134526_79101120212223242526[[#This Row],[Name Surname]],[1]Manpower!$C$4:$C$1048576,[1]Manpower!$B$4:$B$1048576,"")</f>
        <v>Encogroup</v>
      </c>
      <c r="E330" s="5" t="s">
        <v>31</v>
      </c>
      <c r="F330" s="4">
        <f>_xlfn.XLOOKUP([1]!Table134526_79101120212223242526[[#This Row],[Name Surname]],[1]Manpower!C:C,[1]Manpower!D:D,)</f>
        <v>141365075</v>
      </c>
      <c r="G330" s="5" t="str">
        <f>_xlfn.XLOOKUP([1]!Table134526_79101120212223242526[[#This Row],[Name Surname]],[1]Manpower!$C$4:$C$1048576,[1]Manpower!$F$4:$F$1048576,"")</f>
        <v>Helper</v>
      </c>
      <c r="H330" s="5" t="str">
        <f>_xlfn.XLOOKUP([1]!Table134526_79101120212223242526[[#This Row],[Name Surname]],[1]Manpower!$C$4:$C$1048576,[1]Manpower!$H$4:$H$1048576,"")</f>
        <v>Manpower</v>
      </c>
      <c r="I330" s="5" t="str">
        <f>_xlfn.XLOOKUP([1]!Table134526_79101120212223242526[[#This Row],[Name Surname]],[1]Manpower!$C$4:$C$1048576,[1]Manpower!$H$4:$H$1048576,"")</f>
        <v>Manpower</v>
      </c>
      <c r="J330" s="5" t="s">
        <v>23</v>
      </c>
      <c r="K330" s="5" t="s">
        <v>81</v>
      </c>
      <c r="L330" s="5" t="s">
        <v>25</v>
      </c>
      <c r="M330" s="5" t="s">
        <v>18</v>
      </c>
      <c r="N330" s="6">
        <v>10</v>
      </c>
      <c r="O330" s="5"/>
      <c r="P330" s="5"/>
      <c r="Q330" s="5"/>
      <c r="R330" s="5" t="s">
        <v>93</v>
      </c>
      <c r="S330" s="8"/>
    </row>
    <row r="331" spans="1:19" x14ac:dyDescent="0.3">
      <c r="A331" s="9" t="e">
        <f>IF(C331="","",MAX($A$2:A330)+1)</f>
        <v>#REF!</v>
      </c>
      <c r="B331" s="16" t="s">
        <v>21</v>
      </c>
      <c r="C331" s="11">
        <v>46095</v>
      </c>
      <c r="D331" s="13" t="str">
        <f>_xlfn.XLOOKUP([1]!Table134526_79101120212223242526[[#This Row],[Name Surname]],[1]Manpower!$C$4:$C$1048576,[1]Manpower!$B$4:$B$1048576,"")</f>
        <v>SARENS NASS</v>
      </c>
      <c r="E331" s="11" t="s">
        <v>32</v>
      </c>
      <c r="F331" s="12">
        <f>_xlfn.XLOOKUP([1]!Table134526_79101120212223242526[[#This Row],[Name Surname]],[1]Manpower!C:C,[1]Manpower!D:D,)</f>
        <v>79502392</v>
      </c>
      <c r="G331" s="13" t="str">
        <f>_xlfn.XLOOKUP([1]!Table134526_79101120212223242526[[#This Row],[Name Surname]],[1]Manpower!$C$4:$C$1048576,[1]Manpower!$F$4:$F$1048576,"")</f>
        <v>Crane Operator- 70T Liebherr Telescopic Crane-01</v>
      </c>
      <c r="H331" s="13" t="str">
        <f>_xlfn.XLOOKUP([1]!Table134526_79101120212223242526[[#This Row],[Name Surname]],[1]Manpower!$C$4:$C$1048576,[1]Manpower!$H$4:$H$1048576,"")</f>
        <v>Manpower</v>
      </c>
      <c r="I331" s="13" t="str">
        <f>_xlfn.XLOOKUP([1]!Table134526_79101120212223242526[[#This Row],[Name Surname]],[1]Manpower!$C$4:$C$1048576,[1]Manpower!$H$4:$H$1048576,"")</f>
        <v>Manpower</v>
      </c>
      <c r="J331" s="13" t="s">
        <v>23</v>
      </c>
      <c r="K331" s="13" t="s">
        <v>83</v>
      </c>
      <c r="L331" s="13" t="s">
        <v>25</v>
      </c>
      <c r="M331" s="13" t="s">
        <v>18</v>
      </c>
      <c r="N331" s="14">
        <v>10</v>
      </c>
      <c r="O331" s="13"/>
      <c r="P331" s="13"/>
      <c r="Q331" s="13"/>
      <c r="R331" s="13" t="s">
        <v>93</v>
      </c>
      <c r="S331" s="15"/>
    </row>
    <row r="332" spans="1:19" x14ac:dyDescent="0.3">
      <c r="A332" s="1" t="e">
        <f>IF(C332="","",MAX($A$2:A330)+1)</f>
        <v>#REF!</v>
      </c>
      <c r="B332" s="16" t="s">
        <v>21</v>
      </c>
      <c r="C332" s="3">
        <v>46095</v>
      </c>
      <c r="D332" s="5" t="str">
        <f>_xlfn.XLOOKUP([1]!Table134526_79101120212223242526[[#This Row],[Name Surname]],[1]Manpower!$C$4:$C$1048576,[1]Manpower!$B$4:$B$1048576,"")</f>
        <v>Encogroup</v>
      </c>
      <c r="E332" s="3" t="s">
        <v>34</v>
      </c>
      <c r="F332" s="4">
        <f>_xlfn.XLOOKUP([1]!Table134526_79101120212223242526[[#This Row],[Name Surname]],[1]Manpower!C:C,[1]Manpower!D:D,)</f>
        <v>141358993</v>
      </c>
      <c r="G332" s="5" t="str">
        <f>_xlfn.XLOOKUP([1]!Table134526_79101120212223242526[[#This Row],[Name Surname]],[1]Manpower!$C$4:$C$1048576,[1]Manpower!$F$4:$F$1048576,"")</f>
        <v>Fitter</v>
      </c>
      <c r="H332" s="5" t="str">
        <f>_xlfn.XLOOKUP([1]!Table134526_79101120212223242526[[#This Row],[Name Surname]],[1]Manpower!$C$4:$C$1048576,[1]Manpower!$H$4:$H$1048576,"")</f>
        <v>Manpower</v>
      </c>
      <c r="I332" s="5" t="str">
        <f>_xlfn.XLOOKUP([1]!Table134526_79101120212223242526[[#This Row],[Name Surname]],[1]Manpower!$C$4:$C$1048576,[1]Manpower!$H$4:$H$1048576,"")</f>
        <v>Manpower</v>
      </c>
      <c r="J332" s="5" t="s">
        <v>23</v>
      </c>
      <c r="K332" s="5" t="s">
        <v>83</v>
      </c>
      <c r="L332" s="5" t="s">
        <v>25</v>
      </c>
      <c r="M332" s="5" t="s">
        <v>18</v>
      </c>
      <c r="N332" s="6">
        <v>10</v>
      </c>
      <c r="O332" s="5"/>
      <c r="P332" s="5"/>
      <c r="Q332" s="5"/>
      <c r="R332" s="5" t="s">
        <v>93</v>
      </c>
      <c r="S332" s="8"/>
    </row>
    <row r="333" spans="1:19" x14ac:dyDescent="0.3">
      <c r="A333" s="9" t="e">
        <f>IF(C333="","",MAX($A$2:A332)+1)</f>
        <v>#REF!</v>
      </c>
      <c r="B333" s="17" t="s">
        <v>36</v>
      </c>
      <c r="C333" s="11">
        <v>46095</v>
      </c>
      <c r="D333" s="13" t="str">
        <f>_xlfn.XLOOKUP([1]!Table134526_79101120212223242526[[#This Row],[Name Surname]],[1]Manpower!$C$4:$C$1048576,[1]Manpower!$B$4:$B$1048576,"")</f>
        <v>Encogroup</v>
      </c>
      <c r="E333" s="13" t="s">
        <v>37</v>
      </c>
      <c r="F333" s="12" t="str">
        <f>_xlfn.XLOOKUP([1]!Table134526_79101120212223242526[[#This Row],[Name Surname]],[1]Manpower!C:C,[1]Manpower!D:D,)</f>
        <v>R3971143</v>
      </c>
      <c r="G333" s="13" t="str">
        <f>_xlfn.XLOOKUP([1]!Table134526_79101120212223242526[[#This Row],[Name Surname]],[1]Manpower!$C$4:$C$1048576,[1]Manpower!$F$4:$F$1048576,"")</f>
        <v>Mechanical Foreman</v>
      </c>
      <c r="H333" s="13" t="str">
        <f>_xlfn.XLOOKUP([1]!Table134526_79101120212223242526[[#This Row],[Name Surname]],[1]Manpower!$C$4:$C$1048576,[1]Manpower!$H$4:$H$1048576,"")</f>
        <v>Manpower</v>
      </c>
      <c r="I333" s="13" t="str">
        <f>_xlfn.XLOOKUP([1]!Table134526_79101120212223242526[[#This Row],[Name Surname]],[1]Manpower!$C$4:$C$1048576,[1]Manpower!$H$4:$H$1048576,"")</f>
        <v>Manpower</v>
      </c>
      <c r="J333" s="13" t="s">
        <v>38</v>
      </c>
      <c r="K333" s="13" t="s">
        <v>7</v>
      </c>
      <c r="L333" s="13" t="s">
        <v>39</v>
      </c>
      <c r="M333" s="13" t="s">
        <v>18</v>
      </c>
      <c r="N333" s="14">
        <v>10</v>
      </c>
      <c r="O333" s="13"/>
      <c r="P333" s="13"/>
      <c r="Q333" s="13"/>
      <c r="R333" s="13" t="s">
        <v>93</v>
      </c>
      <c r="S333" s="15"/>
    </row>
    <row r="334" spans="1:19" x14ac:dyDescent="0.3">
      <c r="A334" s="1" t="e">
        <f>IF(C334="","",MAX($A$2:A333)+1)</f>
        <v>#REF!</v>
      </c>
      <c r="B334" s="17" t="s">
        <v>36</v>
      </c>
      <c r="C334" s="3">
        <v>46095</v>
      </c>
      <c r="D334" s="5" t="str">
        <f>_xlfn.XLOOKUP([1]!Table134526_79101120212223242526[[#This Row],[Name Surname]],[1]Manpower!$C$4:$C$1048576,[1]Manpower!$B$4:$B$1048576,"")</f>
        <v>Encogroup</v>
      </c>
      <c r="E334" s="5" t="s">
        <v>40</v>
      </c>
      <c r="F334" s="4">
        <f>_xlfn.XLOOKUP([1]!Table134526_79101120212223242526[[#This Row],[Name Surname]],[1]Manpower!C:C,[1]Manpower!D:D,)</f>
        <v>116858297</v>
      </c>
      <c r="G334" s="5" t="str">
        <f>_xlfn.XLOOKUP([1]!Table134526_79101120212223242526[[#This Row],[Name Surname]],[1]Manpower!$C$4:$C$1048576,[1]Manpower!$F$4:$F$1048576,"")</f>
        <v>Mechanical Superintendent</v>
      </c>
      <c r="H334" s="5" t="str">
        <f>_xlfn.XLOOKUP([1]!Table134526_79101120212223242526[[#This Row],[Name Surname]],[1]Manpower!$C$4:$C$1048576,[1]Manpower!$H$4:$H$1048576,"")</f>
        <v>Manpower</v>
      </c>
      <c r="I334" s="5" t="str">
        <f>_xlfn.XLOOKUP([1]!Table134526_79101120212223242526[[#This Row],[Name Surname]],[1]Manpower!$C$4:$C$1048576,[1]Manpower!$H$4:$H$1048576,"")</f>
        <v>Manpower</v>
      </c>
      <c r="J334" s="5" t="s">
        <v>38</v>
      </c>
      <c r="K334" s="5" t="s">
        <v>7</v>
      </c>
      <c r="L334" s="5" t="s">
        <v>39</v>
      </c>
      <c r="M334" s="5" t="s">
        <v>18</v>
      </c>
      <c r="N334" s="6">
        <v>10</v>
      </c>
      <c r="O334" s="5"/>
      <c r="P334" s="5"/>
      <c r="Q334" s="5"/>
      <c r="R334" s="5" t="s">
        <v>93</v>
      </c>
      <c r="S334" s="8"/>
    </row>
    <row r="335" spans="1:19" x14ac:dyDescent="0.3">
      <c r="A335" s="9" t="e">
        <f>IF(C335="","",MAX($A$2:A333)+1)</f>
        <v>#REF!</v>
      </c>
      <c r="B335" s="17" t="s">
        <v>36</v>
      </c>
      <c r="C335" s="11">
        <v>46095</v>
      </c>
      <c r="D335" s="13" t="str">
        <f>_xlfn.XLOOKUP([1]!Table134526_79101120212223242526[[#This Row],[Name Surname]],[1]Manpower!$C$4:$C$1048576,[1]Manpower!$B$4:$B$1048576,"")</f>
        <v>Encogroup</v>
      </c>
      <c r="E335" s="13" t="s">
        <v>41</v>
      </c>
      <c r="F335" s="12">
        <f>_xlfn.XLOOKUP([1]!Table134526_79101120212223242526[[#This Row],[Name Surname]],[1]Manpower!C:C,[1]Manpower!D:D,)</f>
        <v>123805496</v>
      </c>
      <c r="G335" s="13" t="str">
        <f>_xlfn.XLOOKUP([1]!Table134526_79101120212223242526[[#This Row],[Name Surname]],[1]Manpower!$C$4:$C$1048576,[1]Manpower!$F$4:$F$1048576,"")</f>
        <v>Fitter/Erector</v>
      </c>
      <c r="H335" s="13" t="str">
        <f>_xlfn.XLOOKUP([1]!Table134526_79101120212223242526[[#This Row],[Name Surname]],[1]Manpower!$C$4:$C$1048576,[1]Manpower!$H$4:$H$1048576,"")</f>
        <v>Manpower</v>
      </c>
      <c r="I335" s="13" t="str">
        <f>_xlfn.XLOOKUP([1]!Table134526_79101120212223242526[[#This Row],[Name Surname]],[1]Manpower!$C$4:$C$1048576,[1]Manpower!$H$4:$H$1048576,"")</f>
        <v>Manpower</v>
      </c>
      <c r="J335" s="13" t="s">
        <v>38</v>
      </c>
      <c r="K335" s="13" t="s">
        <v>7</v>
      </c>
      <c r="L335" s="13" t="s">
        <v>39</v>
      </c>
      <c r="M335" s="13" t="s">
        <v>18</v>
      </c>
      <c r="N335" s="14">
        <v>10</v>
      </c>
      <c r="O335" s="13"/>
      <c r="P335" s="13"/>
      <c r="Q335" s="13"/>
      <c r="R335" s="13" t="s">
        <v>93</v>
      </c>
      <c r="S335" s="15"/>
    </row>
    <row r="336" spans="1:19" x14ac:dyDescent="0.3">
      <c r="A336" s="1" t="e">
        <f>IF(C336="","",MAX($A$2:A335)+1)</f>
        <v>#REF!</v>
      </c>
      <c r="B336" s="17" t="s">
        <v>36</v>
      </c>
      <c r="C336" s="3">
        <v>46095</v>
      </c>
      <c r="D336" s="5" t="str">
        <f>_xlfn.XLOOKUP([1]!Table134526_79101120212223242526[[#This Row],[Name Surname]],[1]Manpower!$C$4:$C$1048576,[1]Manpower!$B$4:$B$1048576,"")</f>
        <v>Encogroup</v>
      </c>
      <c r="E336" s="5" t="s">
        <v>1</v>
      </c>
      <c r="F336" s="4">
        <f>_xlfn.XLOOKUP([1]!Table134526_79101120212223242526[[#This Row],[Name Surname]],[1]Manpower!C:C,[1]Manpower!D:D,)</f>
        <v>136277866</v>
      </c>
      <c r="G336" s="5" t="str">
        <f>_xlfn.XLOOKUP([1]!Table134526_79101120212223242526[[#This Row],[Name Surname]],[1]Manpower!$C$4:$C$1048576,[1]Manpower!$F$4:$F$1048576,"")</f>
        <v>Permit Receiver</v>
      </c>
      <c r="H336" s="5" t="str">
        <f>_xlfn.XLOOKUP([1]!Table134526_79101120212223242526[[#This Row],[Name Surname]],[1]Manpower!$C$4:$C$1048576,[1]Manpower!$H$4:$H$1048576,"")</f>
        <v>Manpower</v>
      </c>
      <c r="I336" s="5" t="str">
        <f>_xlfn.XLOOKUP([1]!Table134526_79101120212223242526[[#This Row],[Name Surname]],[1]Manpower!$C$4:$C$1048576,[1]Manpower!$H$4:$H$1048576,"")</f>
        <v>Manpower</v>
      </c>
      <c r="J336" s="5" t="s">
        <v>38</v>
      </c>
      <c r="K336" s="5" t="s">
        <v>7</v>
      </c>
      <c r="L336" s="5" t="s">
        <v>39</v>
      </c>
      <c r="M336" s="5" t="s">
        <v>18</v>
      </c>
      <c r="N336" s="6">
        <v>10</v>
      </c>
      <c r="O336" s="5"/>
      <c r="P336" s="5"/>
      <c r="Q336" s="5"/>
      <c r="R336" s="5" t="s">
        <v>93</v>
      </c>
      <c r="S336" s="8"/>
    </row>
    <row r="337" spans="1:19" x14ac:dyDescent="0.3">
      <c r="A337" s="9" t="e">
        <f>IF(C337="","",MAX($A$2:A336)+1)</f>
        <v>#REF!</v>
      </c>
      <c r="B337" s="17" t="s">
        <v>36</v>
      </c>
      <c r="C337" s="11">
        <v>46095</v>
      </c>
      <c r="D337" s="13" t="str">
        <f>_xlfn.XLOOKUP([1]!Table134526_79101120212223242526[[#This Row],[Name Surname]],[1]Manpower!$C$4:$C$1048576,[1]Manpower!$B$4:$B$1048576,"")</f>
        <v>Encogroup</v>
      </c>
      <c r="E337" s="13" t="s">
        <v>45</v>
      </c>
      <c r="F337" s="12">
        <f>_xlfn.XLOOKUP([1]!Table134526_79101120212223242526[[#This Row],[Name Surname]],[1]Manpower!C:C,[1]Manpower!D:D,)</f>
        <v>120653364</v>
      </c>
      <c r="G337" s="13" t="str">
        <f>_xlfn.XLOOKUP([1]!Table134526_79101120212223242526[[#This Row],[Name Surname]],[1]Manpower!$C$4:$C$1048576,[1]Manpower!$F$4:$F$1048576,"")</f>
        <v>Surveyor</v>
      </c>
      <c r="H337" s="13" t="str">
        <f>_xlfn.XLOOKUP([1]!Table134526_79101120212223242526[[#This Row],[Name Surname]],[1]Manpower!$C$4:$C$1048576,[1]Manpower!$H$4:$H$1048576,"")</f>
        <v>Manpower</v>
      </c>
      <c r="I337" s="13" t="str">
        <f>_xlfn.XLOOKUP([1]!Table134526_79101120212223242526[[#This Row],[Name Surname]],[1]Manpower!$C$4:$C$1048576,[1]Manpower!$H$4:$H$1048576,"")</f>
        <v>Manpower</v>
      </c>
      <c r="J337" s="13" t="s">
        <v>38</v>
      </c>
      <c r="K337" s="13" t="s">
        <v>7</v>
      </c>
      <c r="L337" s="13" t="s">
        <v>39</v>
      </c>
      <c r="M337" s="13" t="s">
        <v>18</v>
      </c>
      <c r="N337" s="14">
        <v>10</v>
      </c>
      <c r="O337" s="13"/>
      <c r="P337" s="13"/>
      <c r="Q337" s="13"/>
      <c r="R337" s="13" t="s">
        <v>93</v>
      </c>
      <c r="S337" s="15"/>
    </row>
    <row r="338" spans="1:19" x14ac:dyDescent="0.3">
      <c r="A338" s="1" t="e">
        <f>IF(C338="","",MAX($A$2:A337)+1)</f>
        <v>#REF!</v>
      </c>
      <c r="B338" s="17" t="s">
        <v>36</v>
      </c>
      <c r="C338" s="3">
        <v>46095</v>
      </c>
      <c r="D338" s="5" t="str">
        <f>_xlfn.XLOOKUP([1]!Table134526_79101120212223242526[[#This Row],[Name Surname]],[1]Manpower!$C$4:$C$1048576,[1]Manpower!$B$4:$B$1048576,"")</f>
        <v>Encogroup</v>
      </c>
      <c r="E338" s="5" t="s">
        <v>46</v>
      </c>
      <c r="F338" s="4">
        <f>_xlfn.XLOOKUP([1]!Table134526_79101120212223242526[[#This Row],[Name Surname]],[1]Manpower!C:C,[1]Manpower!D:D,)</f>
        <v>140663253</v>
      </c>
      <c r="G338" s="5" t="str">
        <f>_xlfn.XLOOKUP([1]!Table134526_79101120212223242526[[#This Row],[Name Surname]],[1]Manpower!$C$4:$C$1048576,[1]Manpower!$F$4:$F$1048576,"")</f>
        <v>Painting Inspector</v>
      </c>
      <c r="H338" s="5" t="str">
        <f>_xlfn.XLOOKUP([1]!Table134526_79101120212223242526[[#This Row],[Name Surname]],[1]Manpower!$C$4:$C$1048576,[1]Manpower!$H$4:$H$1048576,"")</f>
        <v>Manpower</v>
      </c>
      <c r="I338" s="5" t="str">
        <f>_xlfn.XLOOKUP([1]!Table134526_79101120212223242526[[#This Row],[Name Surname]],[1]Manpower!$C$4:$C$1048576,[1]Manpower!$H$4:$H$1048576,"")</f>
        <v>Manpower</v>
      </c>
      <c r="J338" s="5" t="s">
        <v>38</v>
      </c>
      <c r="K338" s="5" t="s">
        <v>7</v>
      </c>
      <c r="L338" s="5" t="s">
        <v>39</v>
      </c>
      <c r="M338" s="5" t="s">
        <v>18</v>
      </c>
      <c r="N338" s="6">
        <v>10</v>
      </c>
      <c r="O338" s="5"/>
      <c r="P338" s="5"/>
      <c r="Q338" s="5"/>
      <c r="R338" s="5" t="s">
        <v>93</v>
      </c>
      <c r="S338" s="8"/>
    </row>
    <row r="339" spans="1:19" x14ac:dyDescent="0.3">
      <c r="A339" s="9" t="e">
        <f>IF(C339="","",MAX($A$2:A338)+1)</f>
        <v>#REF!</v>
      </c>
      <c r="B339" s="17" t="s">
        <v>36</v>
      </c>
      <c r="C339" s="11">
        <v>46095</v>
      </c>
      <c r="D339" s="13" t="str">
        <f>_xlfn.XLOOKUP([1]!Table134526_79101120212223242526[[#This Row],[Name Surname]],[1]Manpower!$C$4:$C$1048576,[1]Manpower!$B$4:$B$1048576,"")</f>
        <v>Encogroup</v>
      </c>
      <c r="E339" s="13" t="s">
        <v>48</v>
      </c>
      <c r="F339" s="12">
        <f>_xlfn.XLOOKUP([1]!Table134526_79101120212223242526[[#This Row],[Name Surname]],[1]Manpower!C:C,[1]Manpower!D:D,)</f>
        <v>140844604</v>
      </c>
      <c r="G339" s="13" t="str">
        <f>_xlfn.XLOOKUP([1]!Table134526_79101120212223242526[[#This Row],[Name Surname]],[1]Manpower!$C$4:$C$1048576,[1]Manpower!$F$4:$F$1048576,"")</f>
        <v>Painter</v>
      </c>
      <c r="H339" s="13" t="str">
        <f>_xlfn.XLOOKUP([1]!Table134526_79101120212223242526[[#This Row],[Name Surname]],[1]Manpower!$C$4:$C$1048576,[1]Manpower!$H$4:$H$1048576,"")</f>
        <v>Manpower</v>
      </c>
      <c r="I339" s="13" t="str">
        <f>_xlfn.XLOOKUP([1]!Table134526_79101120212223242526[[#This Row],[Name Surname]],[1]Manpower!$C$4:$C$1048576,[1]Manpower!$H$4:$H$1048576,"")</f>
        <v>Manpower</v>
      </c>
      <c r="J339" s="13" t="s">
        <v>38</v>
      </c>
      <c r="K339" s="13" t="s">
        <v>7</v>
      </c>
      <c r="L339" s="13" t="s">
        <v>39</v>
      </c>
      <c r="M339" s="13" t="s">
        <v>18</v>
      </c>
      <c r="N339" s="14">
        <v>10</v>
      </c>
      <c r="O339" s="13"/>
      <c r="P339" s="13"/>
      <c r="Q339" s="13"/>
      <c r="R339" s="13" t="s">
        <v>93</v>
      </c>
      <c r="S339" s="15"/>
    </row>
    <row r="340" spans="1:19" x14ac:dyDescent="0.3">
      <c r="A340" s="1" t="e">
        <f>IF(C340="","",MAX($A$2:A339)+1)</f>
        <v>#REF!</v>
      </c>
      <c r="B340" s="17" t="s">
        <v>36</v>
      </c>
      <c r="C340" s="3">
        <v>46095</v>
      </c>
      <c r="D340" s="5" t="str">
        <f>_xlfn.XLOOKUP([1]!Table134526_79101120212223242526[[#This Row],[Name Surname]],[1]Manpower!$C$4:$C$1048576,[1]Manpower!$B$4:$B$1048576,"")</f>
        <v>Encogroup</v>
      </c>
      <c r="E340" s="5" t="s">
        <v>49</v>
      </c>
      <c r="F340" s="4">
        <f>_xlfn.XLOOKUP([1]!Table134526_79101120212223242526[[#This Row],[Name Surname]],[1]Manpower!C:C,[1]Manpower!D:D,)</f>
        <v>140844783</v>
      </c>
      <c r="G340" s="5" t="str">
        <f>_xlfn.XLOOKUP([1]!Table134526_79101120212223242526[[#This Row],[Name Surname]],[1]Manpower!$C$4:$C$1048576,[1]Manpower!$F$4:$F$1048576,"")</f>
        <v>Painter</v>
      </c>
      <c r="H340" s="5" t="str">
        <f>_xlfn.XLOOKUP([1]!Table134526_79101120212223242526[[#This Row],[Name Surname]],[1]Manpower!$C$4:$C$1048576,[1]Manpower!$H$4:$H$1048576,"")</f>
        <v>Manpower</v>
      </c>
      <c r="I340" s="5" t="str">
        <f>_xlfn.XLOOKUP([1]!Table134526_79101120212223242526[[#This Row],[Name Surname]],[1]Manpower!$C$4:$C$1048576,[1]Manpower!$H$4:$H$1048576,"")</f>
        <v>Manpower</v>
      </c>
      <c r="J340" s="5" t="s">
        <v>38</v>
      </c>
      <c r="K340" s="5" t="s">
        <v>7</v>
      </c>
      <c r="L340" s="5" t="s">
        <v>39</v>
      </c>
      <c r="M340" s="5" t="s">
        <v>18</v>
      </c>
      <c r="N340" s="6">
        <v>10</v>
      </c>
      <c r="O340" s="5"/>
      <c r="P340" s="5"/>
      <c r="Q340" s="5"/>
      <c r="R340" s="5" t="s">
        <v>93</v>
      </c>
      <c r="S340" s="8"/>
    </row>
    <row r="341" spans="1:19" x14ac:dyDescent="0.3">
      <c r="A341" s="9" t="e">
        <f>IF(C341="","",MAX($A$2:A340)+1)</f>
        <v>#REF!</v>
      </c>
      <c r="B341" s="17" t="s">
        <v>36</v>
      </c>
      <c r="C341" s="11">
        <v>46095</v>
      </c>
      <c r="D341" s="13" t="str">
        <f>_xlfn.XLOOKUP([1]!Table134526_79101120212223242526[[#This Row],[Name Surname]],[1]Manpower!$C$4:$C$1048576,[1]Manpower!$B$4:$B$1048576,"")</f>
        <v>Encogroup</v>
      </c>
      <c r="E341" s="13" t="s">
        <v>50</v>
      </c>
      <c r="F341" s="12" t="str">
        <f>_xlfn.XLOOKUP([1]!Table134526_79101120212223242526[[#This Row],[Name Surname]],[1]Manpower!C:C,[1]Manpower!D:D,)</f>
        <v>AG111207</v>
      </c>
      <c r="G341" s="13" t="str">
        <f>_xlfn.XLOOKUP([1]!Table134526_79101120212223242526[[#This Row],[Name Surname]],[1]Manpower!$C$4:$C$1048576,[1]Manpower!$F$4:$F$1048576,"")</f>
        <v>Assistant/Helper</v>
      </c>
      <c r="H341" s="13" t="str">
        <f>_xlfn.XLOOKUP([1]!Table134526_79101120212223242526[[#This Row],[Name Surname]],[1]Manpower!$C$4:$C$1048576,[1]Manpower!$H$4:$H$1048576,"")</f>
        <v>Manpower</v>
      </c>
      <c r="I341" s="13" t="str">
        <f>_xlfn.XLOOKUP([1]!Table134526_79101120212223242526[[#This Row],[Name Surname]],[1]Manpower!$C$4:$C$1048576,[1]Manpower!$H$4:$H$1048576,"")</f>
        <v>Manpower</v>
      </c>
      <c r="J341" s="13" t="s">
        <v>38</v>
      </c>
      <c r="K341" s="13" t="s">
        <v>7</v>
      </c>
      <c r="L341" s="13" t="s">
        <v>39</v>
      </c>
      <c r="M341" s="13" t="s">
        <v>5</v>
      </c>
      <c r="N341" s="14">
        <v>10</v>
      </c>
      <c r="O341" s="13"/>
      <c r="P341" s="13"/>
      <c r="Q341" s="13"/>
      <c r="R341" s="13" t="s">
        <v>93</v>
      </c>
      <c r="S341" s="15"/>
    </row>
    <row r="342" spans="1:19" x14ac:dyDescent="0.3">
      <c r="A342" s="1" t="e">
        <f>IF(C342="","",MAX($A$2:A341)+1)</f>
        <v>#REF!</v>
      </c>
      <c r="B342" s="17" t="s">
        <v>36</v>
      </c>
      <c r="C342" s="3">
        <v>46095</v>
      </c>
      <c r="D342" s="5" t="str">
        <f>_xlfn.XLOOKUP([1]!Table134526_79101120212223242526[[#This Row],[Name Surname]],[1]Manpower!$C$4:$C$1048576,[1]Manpower!$B$4:$B$1048576,"")</f>
        <v>Encogroup</v>
      </c>
      <c r="E342" s="3" t="s">
        <v>51</v>
      </c>
      <c r="F342" s="4">
        <f>_xlfn.XLOOKUP([1]!Table134526_79101120212223242526[[#This Row],[Name Surname]],[1]Manpower!C:C,[1]Manpower!D:D,)</f>
        <v>140844778</v>
      </c>
      <c r="G342" s="5" t="str">
        <f>_xlfn.XLOOKUP([1]!Table134526_79101120212223242526[[#This Row],[Name Surname]],[1]Manpower!$C$4:$C$1048576,[1]Manpower!$F$4:$F$1048576,"")</f>
        <v>Painter</v>
      </c>
      <c r="H342" s="5" t="str">
        <f>_xlfn.XLOOKUP([1]!Table134526_79101120212223242526[[#This Row],[Name Surname]],[1]Manpower!$C$4:$C$1048576,[1]Manpower!$H$4:$H$1048576,"")</f>
        <v>Manpower</v>
      </c>
      <c r="I342" s="5" t="str">
        <f>_xlfn.XLOOKUP([1]!Table134526_79101120212223242526[[#This Row],[Name Surname]],[1]Manpower!$C$4:$C$1048576,[1]Manpower!$H$4:$H$1048576,"")</f>
        <v>Manpower</v>
      </c>
      <c r="J342" s="5" t="s">
        <v>38</v>
      </c>
      <c r="K342" s="5" t="s">
        <v>7</v>
      </c>
      <c r="L342" s="5" t="s">
        <v>39</v>
      </c>
      <c r="M342" s="5" t="s">
        <v>18</v>
      </c>
      <c r="N342" s="6">
        <v>10</v>
      </c>
      <c r="O342" s="5"/>
      <c r="P342" s="5"/>
      <c r="Q342" s="5"/>
      <c r="R342" s="5" t="s">
        <v>93</v>
      </c>
      <c r="S342" s="8"/>
    </row>
    <row r="343" spans="1:19" x14ac:dyDescent="0.3">
      <c r="A343" s="9" t="e">
        <f>IF(C343="","",MAX($A$2:A342)+1)</f>
        <v>#REF!</v>
      </c>
      <c r="B343" s="17" t="s">
        <v>36</v>
      </c>
      <c r="C343" s="11">
        <v>46095</v>
      </c>
      <c r="D343" s="13" t="str">
        <f>_xlfn.XLOOKUP([1]!Table134526_79101120212223242526[[#This Row],[Name Surname]],[1]Manpower!$C$4:$C$1048576,[1]Manpower!$B$4:$B$1048576,"")</f>
        <v>Encogroup</v>
      </c>
      <c r="E343" s="11" t="s">
        <v>52</v>
      </c>
      <c r="F343" s="12">
        <f>_xlfn.XLOOKUP([1]!Table134526_79101120212223242526[[#This Row],[Name Surname]],[1]Manpower!C:C,[1]Manpower!D:D,)</f>
        <v>141365037</v>
      </c>
      <c r="G343" s="13" t="str">
        <f>_xlfn.XLOOKUP([1]!Table134526_79101120212223242526[[#This Row],[Name Surname]],[1]Manpower!$C$4:$C$1048576,[1]Manpower!$F$4:$F$1048576,"")</f>
        <v>Painter</v>
      </c>
      <c r="H343" s="13" t="str">
        <f>_xlfn.XLOOKUP([1]!Table134526_79101120212223242526[[#This Row],[Name Surname]],[1]Manpower!$C$4:$C$1048576,[1]Manpower!$H$4:$H$1048576,"")</f>
        <v>Manpower</v>
      </c>
      <c r="I343" s="13" t="str">
        <f>_xlfn.XLOOKUP([1]!Table134526_79101120212223242526[[#This Row],[Name Surname]],[1]Manpower!$C$4:$C$1048576,[1]Manpower!$H$4:$H$1048576,"")</f>
        <v>Manpower</v>
      </c>
      <c r="J343" s="13" t="s">
        <v>38</v>
      </c>
      <c r="K343" s="13" t="s">
        <v>7</v>
      </c>
      <c r="L343" s="13" t="s">
        <v>39</v>
      </c>
      <c r="M343" s="13" t="s">
        <v>18</v>
      </c>
      <c r="N343" s="14">
        <v>10</v>
      </c>
      <c r="O343" s="13"/>
      <c r="P343" s="13"/>
      <c r="Q343" s="13"/>
      <c r="R343" s="13" t="s">
        <v>93</v>
      </c>
      <c r="S343" s="15"/>
    </row>
    <row r="344" spans="1:19" x14ac:dyDescent="0.3">
      <c r="A344" s="1" t="e">
        <f>IF(C344="","",MAX($A$2:A343)+1)</f>
        <v>#REF!</v>
      </c>
      <c r="B344" s="17" t="s">
        <v>36</v>
      </c>
      <c r="C344" s="3">
        <v>46095</v>
      </c>
      <c r="D344" s="5" t="str">
        <f>_xlfn.XLOOKUP([1]!Table134526_79101120212223242526[[#This Row],[Name Surname]],[1]Manpower!$C$4:$C$1048576,[1]Manpower!$B$4:$B$1048576,"")</f>
        <v>Encogroup</v>
      </c>
      <c r="E344" s="5" t="s">
        <v>53</v>
      </c>
      <c r="F344" s="4">
        <f>_xlfn.XLOOKUP([1]!Table134526_79101120212223242526[[#This Row],[Name Surname]],[1]Manpower!C:C,[1]Manpower!D:D,)</f>
        <v>141377709</v>
      </c>
      <c r="G344" s="5" t="str">
        <f>_xlfn.XLOOKUP([1]!Table134526_79101120212223242526[[#This Row],[Name Surname]],[1]Manpower!$C$4:$C$1048576,[1]Manpower!$F$4:$F$1048576,"")</f>
        <v>Helper</v>
      </c>
      <c r="H344" s="5" t="str">
        <f>_xlfn.XLOOKUP([1]!Table134526_79101120212223242526[[#This Row],[Name Surname]],[1]Manpower!$C$4:$C$1048576,[1]Manpower!$H$4:$H$1048576,"")</f>
        <v>Manpower</v>
      </c>
      <c r="I344" s="5" t="str">
        <f>_xlfn.XLOOKUP([1]!Table134526_79101120212223242526[[#This Row],[Name Surname]],[1]Manpower!$C$4:$C$1048576,[1]Manpower!$H$4:$H$1048576,"")</f>
        <v>Manpower</v>
      </c>
      <c r="J344" s="5" t="s">
        <v>38</v>
      </c>
      <c r="K344" s="5" t="s">
        <v>7</v>
      </c>
      <c r="L344" s="5" t="s">
        <v>39</v>
      </c>
      <c r="M344" s="5" t="s">
        <v>18</v>
      </c>
      <c r="N344" s="6">
        <v>10</v>
      </c>
      <c r="O344" s="5"/>
      <c r="P344" s="5"/>
      <c r="Q344" s="5"/>
      <c r="R344" s="5" t="s">
        <v>93</v>
      </c>
      <c r="S344" s="8"/>
    </row>
    <row r="345" spans="1:19" x14ac:dyDescent="0.3">
      <c r="A345" s="9" t="e">
        <f>IF(C345="","",MAX($A$2:A344)+1)</f>
        <v>#REF!</v>
      </c>
      <c r="B345" s="17" t="s">
        <v>36</v>
      </c>
      <c r="C345" s="11">
        <v>46095</v>
      </c>
      <c r="D345" s="13" t="str">
        <f>_xlfn.XLOOKUP([1]!Table134526_79101120212223242526[[#This Row],[Name Surname]],[1]Manpower!$C$4:$C$1048576,[1]Manpower!$B$4:$B$1048576,"")</f>
        <v>Encogroup</v>
      </c>
      <c r="E345" s="13" t="s">
        <v>54</v>
      </c>
      <c r="F345" s="12">
        <f>_xlfn.XLOOKUP([1]!Table134526_79101120212223242526[[#This Row],[Name Surname]],[1]Manpower!C:C,[1]Manpower!D:D,)</f>
        <v>140805554</v>
      </c>
      <c r="G345" s="13" t="str">
        <f>_xlfn.XLOOKUP([1]!Table134526_79101120212223242526[[#This Row],[Name Surname]],[1]Manpower!$C$4:$C$1048576,[1]Manpower!$F$4:$F$1048576,"")</f>
        <v>Assistant/Helper</v>
      </c>
      <c r="H345" s="13" t="str">
        <f>_xlfn.XLOOKUP([1]!Table134526_79101120212223242526[[#This Row],[Name Surname]],[1]Manpower!$C$4:$C$1048576,[1]Manpower!$H$4:$H$1048576,"")</f>
        <v>Manpower</v>
      </c>
      <c r="I345" s="13" t="str">
        <f>_xlfn.XLOOKUP([1]!Table134526_79101120212223242526[[#This Row],[Name Surname]],[1]Manpower!$C$4:$C$1048576,[1]Manpower!$H$4:$H$1048576,"")</f>
        <v>Manpower</v>
      </c>
      <c r="J345" s="13" t="s">
        <v>38</v>
      </c>
      <c r="K345" s="13" t="s">
        <v>7</v>
      </c>
      <c r="L345" s="13" t="s">
        <v>39</v>
      </c>
      <c r="M345" s="13" t="s">
        <v>18</v>
      </c>
      <c r="N345" s="14">
        <v>10</v>
      </c>
      <c r="O345" s="13"/>
      <c r="P345" s="13"/>
      <c r="Q345" s="13"/>
      <c r="R345" s="13" t="s">
        <v>93</v>
      </c>
      <c r="S345" s="15"/>
    </row>
    <row r="346" spans="1:19" x14ac:dyDescent="0.3">
      <c r="A346" s="1" t="e">
        <f>IF(C346="","",MAX($A$2:A345)+1)</f>
        <v>#REF!</v>
      </c>
      <c r="B346" s="17" t="s">
        <v>36</v>
      </c>
      <c r="C346" s="3">
        <v>46095</v>
      </c>
      <c r="D346" s="5" t="str">
        <f>_xlfn.XLOOKUP([1]!Table134526_79101120212223242526[[#This Row],[Name Surname]],[1]Manpower!$C$4:$C$1048576,[1]Manpower!$B$4:$B$1048576,"")</f>
        <v>Encogroup</v>
      </c>
      <c r="E346" s="5" t="s">
        <v>55</v>
      </c>
      <c r="F346" s="4">
        <f>_xlfn.XLOOKUP([1]!Table134526_79101120212223242526[[#This Row],[Name Surname]],[1]Manpower!C:C,[1]Manpower!D:D,)</f>
        <v>141169033</v>
      </c>
      <c r="G346" s="5" t="str">
        <f>_xlfn.XLOOKUP([1]!Table134526_79101120212223242526[[#This Row],[Name Surname]],[1]Manpower!$C$4:$C$1048576,[1]Manpower!$F$4:$F$1048576,"")</f>
        <v>Welder</v>
      </c>
      <c r="H346" s="5" t="str">
        <f>_xlfn.XLOOKUP([1]!Table134526_79101120212223242526[[#This Row],[Name Surname]],[1]Manpower!$C$4:$C$1048576,[1]Manpower!$H$4:$H$1048576,"")</f>
        <v>Manpower</v>
      </c>
      <c r="I346" s="5" t="str">
        <f>_xlfn.XLOOKUP([1]!Table134526_79101120212223242526[[#This Row],[Name Surname]],[1]Manpower!$C$4:$C$1048576,[1]Manpower!$H$4:$H$1048576,"")</f>
        <v>Manpower</v>
      </c>
      <c r="J346" s="5" t="s">
        <v>38</v>
      </c>
      <c r="K346" s="5" t="s">
        <v>7</v>
      </c>
      <c r="L346" s="5" t="s">
        <v>39</v>
      </c>
      <c r="M346" s="5" t="s">
        <v>18</v>
      </c>
      <c r="N346" s="6">
        <v>10</v>
      </c>
      <c r="O346" s="5"/>
      <c r="P346" s="5"/>
      <c r="Q346" s="5"/>
      <c r="R346" s="5" t="s">
        <v>93</v>
      </c>
      <c r="S346" s="8"/>
    </row>
    <row r="347" spans="1:19" x14ac:dyDescent="0.3">
      <c r="A347" s="9" t="e">
        <f>IF(C347="","",MAX($A$2:A346)+1)</f>
        <v>#REF!</v>
      </c>
      <c r="B347" s="17" t="s">
        <v>36</v>
      </c>
      <c r="C347" s="11">
        <v>46095</v>
      </c>
      <c r="D347" s="13" t="str">
        <f>_xlfn.XLOOKUP([1]!Table134526_79101120212223242526[[#This Row],[Name Surname]],[1]Manpower!$C$4:$C$1048576,[1]Manpower!$B$4:$B$1048576,"")</f>
        <v>Encogroup</v>
      </c>
      <c r="E347" s="13" t="s">
        <v>56</v>
      </c>
      <c r="F347" s="12">
        <f>_xlfn.XLOOKUP([1]!Table134526_79101120212223242526[[#This Row],[Name Surname]],[1]Manpower!C:C,[1]Manpower!D:D,)</f>
        <v>141169028</v>
      </c>
      <c r="G347" s="13" t="str">
        <f>_xlfn.XLOOKUP([1]!Table134526_79101120212223242526[[#This Row],[Name Surname]],[1]Manpower!$C$4:$C$1048576,[1]Manpower!$F$4:$F$1048576,"")</f>
        <v>Welder</v>
      </c>
      <c r="H347" s="13" t="str">
        <f>_xlfn.XLOOKUP([1]!Table134526_79101120212223242526[[#This Row],[Name Surname]],[1]Manpower!$C$4:$C$1048576,[1]Manpower!$H$4:$H$1048576,"")</f>
        <v>Manpower</v>
      </c>
      <c r="I347" s="13" t="str">
        <f>_xlfn.XLOOKUP([1]!Table134526_79101120212223242526[[#This Row],[Name Surname]],[1]Manpower!$C$4:$C$1048576,[1]Manpower!$H$4:$H$1048576,"")</f>
        <v>Manpower</v>
      </c>
      <c r="J347" s="13" t="s">
        <v>38</v>
      </c>
      <c r="K347" s="13" t="s">
        <v>7</v>
      </c>
      <c r="L347" s="13" t="s">
        <v>39</v>
      </c>
      <c r="M347" s="13" t="s">
        <v>18</v>
      </c>
      <c r="N347" s="14">
        <v>10</v>
      </c>
      <c r="O347" s="13"/>
      <c r="P347" s="13"/>
      <c r="Q347" s="13"/>
      <c r="R347" s="13" t="s">
        <v>93</v>
      </c>
      <c r="S347" s="15"/>
    </row>
    <row r="348" spans="1:19" x14ac:dyDescent="0.3">
      <c r="A348" s="1" t="e">
        <f>IF(C348="","",MAX($A$2:A347)+1)</f>
        <v>#REF!</v>
      </c>
      <c r="B348" s="17" t="s">
        <v>36</v>
      </c>
      <c r="C348" s="3">
        <v>46095</v>
      </c>
      <c r="D348" s="5" t="str">
        <f>_xlfn.XLOOKUP([1]!Table134526_79101120212223242526[[#This Row],[Name Surname]],[1]Manpower!$C$4:$C$1048576,[1]Manpower!$B$4:$B$1048576,"")</f>
        <v>Encogroup</v>
      </c>
      <c r="E348" s="5" t="s">
        <v>57</v>
      </c>
      <c r="F348" s="4">
        <f>_xlfn.XLOOKUP([1]!Table134526_79101120212223242526[[#This Row],[Name Surname]],[1]Manpower!C:C,[1]Manpower!D:D,)</f>
        <v>140805568</v>
      </c>
      <c r="G348" s="5" t="str">
        <f>_xlfn.XLOOKUP([1]!Table134526_79101120212223242526[[#This Row],[Name Surname]],[1]Manpower!$C$4:$C$1048576,[1]Manpower!$F$4:$F$1048576,"")</f>
        <v>Assistant/Helper</v>
      </c>
      <c r="H348" s="5" t="str">
        <f>_xlfn.XLOOKUP([1]!Table134526_79101120212223242526[[#This Row],[Name Surname]],[1]Manpower!$C$4:$C$1048576,[1]Manpower!$H$4:$H$1048576,"")</f>
        <v>Manpower</v>
      </c>
      <c r="I348" s="5" t="str">
        <f>_xlfn.XLOOKUP([1]!Table134526_79101120212223242526[[#This Row],[Name Surname]],[1]Manpower!$C$4:$C$1048576,[1]Manpower!$H$4:$H$1048576,"")</f>
        <v>Manpower</v>
      </c>
      <c r="J348" s="5" t="s">
        <v>38</v>
      </c>
      <c r="K348" s="5" t="s">
        <v>7</v>
      </c>
      <c r="L348" s="5" t="s">
        <v>39</v>
      </c>
      <c r="M348" s="5" t="s">
        <v>18</v>
      </c>
      <c r="N348" s="6">
        <v>8</v>
      </c>
      <c r="O348" s="5"/>
      <c r="P348" s="5"/>
      <c r="Q348" s="5"/>
      <c r="R348" s="5" t="s">
        <v>93</v>
      </c>
      <c r="S348" s="8"/>
    </row>
    <row r="349" spans="1:19" x14ac:dyDescent="0.3">
      <c r="A349" s="9" t="e">
        <f>IF(C349="","",MAX($A$2:A348)+1)</f>
        <v>#REF!</v>
      </c>
      <c r="B349" s="17" t="s">
        <v>36</v>
      </c>
      <c r="C349" s="11">
        <v>46095</v>
      </c>
      <c r="D349" s="13" t="str">
        <f>_xlfn.XLOOKUP([1]!Table134526_79101120212223242526[[#This Row],[Name Surname]],[1]Manpower!$C$4:$C$1048576,[1]Manpower!$B$4:$B$1048576,"")</f>
        <v>AL Saif &amp; Al QALLM ENT LLC</v>
      </c>
      <c r="E349" s="11" t="s">
        <v>58</v>
      </c>
      <c r="F349" s="12">
        <f>_xlfn.XLOOKUP([1]!Table134526_79101120212223242526[[#This Row],[Name Surname]],[1]Manpower!C:C,[1]Manpower!D:D,)</f>
        <v>76647648</v>
      </c>
      <c r="G349" s="13" t="str">
        <f>_xlfn.XLOOKUP([1]!Table134526_79101120212223242526[[#This Row],[Name Surname]],[1]Manpower!$C$4:$C$1048576,[1]Manpower!$F$4:$F$1048576,"")</f>
        <v>RIgger</v>
      </c>
      <c r="H349" s="13" t="str">
        <f>_xlfn.XLOOKUP([1]!Table134526_79101120212223242526[[#This Row],[Name Surname]],[1]Manpower!$C$4:$C$1048576,[1]Manpower!$H$4:$H$1048576,"")</f>
        <v>Sub Contactor</v>
      </c>
      <c r="I349" s="13" t="str">
        <f>_xlfn.XLOOKUP([1]!Table134526_79101120212223242526[[#This Row],[Name Surname]],[1]Manpower!$C$4:$C$1048576,[1]Manpower!$H$4:$H$1048576,"")</f>
        <v>Sub Contactor</v>
      </c>
      <c r="J349" s="13" t="s">
        <v>38</v>
      </c>
      <c r="K349" s="13" t="s">
        <v>7</v>
      </c>
      <c r="L349" s="13" t="s">
        <v>39</v>
      </c>
      <c r="M349" s="13" t="s">
        <v>18</v>
      </c>
      <c r="N349" s="14">
        <v>10</v>
      </c>
      <c r="O349" s="13"/>
      <c r="P349" s="13"/>
      <c r="Q349" s="13"/>
      <c r="R349" s="13" t="s">
        <v>93</v>
      </c>
      <c r="S349" s="15"/>
    </row>
    <row r="350" spans="1:19" x14ac:dyDescent="0.3">
      <c r="A350" s="1" t="e">
        <f>IF(C350="","",MAX($A$2:A349)+1)</f>
        <v>#REF!</v>
      </c>
      <c r="B350" s="17" t="s">
        <v>36</v>
      </c>
      <c r="C350" s="3">
        <v>46095</v>
      </c>
      <c r="D350" s="5" t="str">
        <f>_xlfn.XLOOKUP([1]!Table134526_79101120212223242526[[#This Row],[Name Surname]],[1]Manpower!$C$4:$C$1048576,[1]Manpower!$B$4:$B$1048576,"")</f>
        <v>Rabwu Ahamal AL Khaleej Trad</v>
      </c>
      <c r="E350" s="3" t="s">
        <v>59</v>
      </c>
      <c r="F350" s="4">
        <f>_xlfn.XLOOKUP([1]!Table134526_79101120212223242526[[#This Row],[Name Surname]],[1]Manpower!C:C,[1]Manpower!D:D,)</f>
        <v>131431131</v>
      </c>
      <c r="G350" s="5" t="str">
        <f>_xlfn.XLOOKUP([1]!Table134526_79101120212223242526[[#This Row],[Name Surname]],[1]Manpower!$C$4:$C$1048576,[1]Manpower!$F$4:$F$1048576,"")</f>
        <v>RIgger</v>
      </c>
      <c r="H350" s="5" t="str">
        <f>_xlfn.XLOOKUP([1]!Table134526_79101120212223242526[[#This Row],[Name Surname]],[1]Manpower!$C$4:$C$1048576,[1]Manpower!$H$4:$H$1048576,"")</f>
        <v>Sub Contactor</v>
      </c>
      <c r="I350" s="5" t="str">
        <f>_xlfn.XLOOKUP([1]!Table134526_79101120212223242526[[#This Row],[Name Surname]],[1]Manpower!$C$4:$C$1048576,[1]Manpower!$H$4:$H$1048576,"")</f>
        <v>Sub Contactor</v>
      </c>
      <c r="J350" s="5" t="s">
        <v>38</v>
      </c>
      <c r="K350" s="5" t="s">
        <v>7</v>
      </c>
      <c r="L350" s="5" t="s">
        <v>39</v>
      </c>
      <c r="M350" s="5" t="s">
        <v>18</v>
      </c>
      <c r="N350" s="6">
        <v>10</v>
      </c>
      <c r="O350" s="5"/>
      <c r="P350" s="5"/>
      <c r="Q350" s="5"/>
      <c r="R350" s="5" t="s">
        <v>93</v>
      </c>
      <c r="S350" s="8"/>
    </row>
    <row r="351" spans="1:19" x14ac:dyDescent="0.3">
      <c r="A351" s="9" t="e">
        <f>IF(C351="","",MAX($A$2:A350)+1)</f>
        <v>#REF!</v>
      </c>
      <c r="B351" s="2" t="s">
        <v>0</v>
      </c>
      <c r="C351" s="11">
        <v>46096</v>
      </c>
      <c r="D351" s="13" t="str">
        <f>_xlfn.XLOOKUP([1]!Table134526_79101120212223242526[[#This Row],[Name Surname]],[1]Manpower!$C$4:$C$1048576,[1]Manpower!$B$4:$B$1048576,"")</f>
        <v>AL Saif &amp; Al QALLM ENT LLC</v>
      </c>
      <c r="E351" s="13" t="s">
        <v>43</v>
      </c>
      <c r="F351" s="12">
        <f>_xlfn.XLOOKUP([1]!Table134526_79101120212223242526[[#This Row],[Name Surname]],[1]Manpower!C:C,[1]Manpower!D:D,)</f>
        <v>135762195</v>
      </c>
      <c r="G351" s="13" t="str">
        <f>_xlfn.XLOOKUP([1]!Table134526_79101120212223242526[[#This Row],[Name Surname]],[1]Manpower!$C$4:$C$1048576,[1]Manpower!$F$4:$F$1048576,"")</f>
        <v>HSE Officer</v>
      </c>
      <c r="H351" s="13" t="str">
        <f>_xlfn.XLOOKUP([1]!Table134526_79101120212223242526[[#This Row],[Name Surname]],[1]Manpower!$C$4:$C$1048576,[1]Manpower!$H$4:$H$1048576,"")</f>
        <v>Sub Contactor</v>
      </c>
      <c r="I351" s="13" t="str">
        <f>_xlfn.XLOOKUP([1]!Table134526_79101120212223242526[[#This Row],[Name Surname]],[1]Manpower!$C$4:$C$1048576,[1]Manpower!$H$4:$H$1048576,"")</f>
        <v>Sub Contactor</v>
      </c>
      <c r="J351" s="13" t="s">
        <v>2</v>
      </c>
      <c r="K351" s="13" t="s">
        <v>64</v>
      </c>
      <c r="L351" s="13" t="s">
        <v>10</v>
      </c>
      <c r="M351" s="13" t="s">
        <v>5</v>
      </c>
      <c r="N351" s="14">
        <v>10</v>
      </c>
      <c r="O351" s="13" t="s">
        <v>11</v>
      </c>
      <c r="P351" s="13" t="s">
        <v>12</v>
      </c>
      <c r="Q351" s="13" t="s">
        <v>13</v>
      </c>
      <c r="R351" s="13" t="s">
        <v>94</v>
      </c>
      <c r="S351" s="15"/>
    </row>
    <row r="352" spans="1:19" x14ac:dyDescent="0.3">
      <c r="A352" s="1" t="e">
        <f>IF(C352="","",MAX($A$2:A351)+1)</f>
        <v>#REF!</v>
      </c>
      <c r="B352" s="10" t="s">
        <v>0</v>
      </c>
      <c r="C352" s="3">
        <v>46096</v>
      </c>
      <c r="D352" s="5" t="str">
        <f>_xlfn.XLOOKUP([1]!Table134526_79101120212223242526[[#This Row],[Name Surname]],[1]Manpower!$C$4:$C$1048576,[1]Manpower!$B$4:$B$1048576,"")</f>
        <v>Encogroup</v>
      </c>
      <c r="E352" s="3" t="s">
        <v>61</v>
      </c>
      <c r="F352" s="4" t="e">
        <f>_xlfn.XLOOKUP([1]!Table134526_79101120212223242526[[#This Row],[Name Surname]],[1]Manpower!C:C,[1]Manpower!D:D,)</f>
        <v>#N/A</v>
      </c>
      <c r="G352" s="5" t="str">
        <f>_xlfn.XLOOKUP([1]!Table134526_79101120212223242526[[#This Row],[Name Surname]],[1]Manpower!$C$4:$C$1048576,[1]Manpower!$F$4:$F$1048576,"")</f>
        <v>TOWER LIGHT</v>
      </c>
      <c r="H352" s="5" t="str">
        <f>_xlfn.XLOOKUP([1]!Table134526_79101120212223242526[[#This Row],[Name Surname]],[1]Manpower!$C$4:$C$1048576,[1]Manpower!$H$4:$H$1048576,"")</f>
        <v>Equipment</v>
      </c>
      <c r="I352" s="5" t="str">
        <f>_xlfn.XLOOKUP([1]!Table134526_79101120212223242526[[#This Row],[Name Surname]],[1]Manpower!$C$4:$C$1048576,[1]Manpower!$H$4:$H$1048576,"")</f>
        <v>Equipment</v>
      </c>
      <c r="J352" s="5" t="s">
        <v>9</v>
      </c>
      <c r="K352" s="5" t="s">
        <v>7</v>
      </c>
      <c r="L352" s="5" t="s">
        <v>10</v>
      </c>
      <c r="M352" s="5" t="s">
        <v>5</v>
      </c>
      <c r="N352" s="6">
        <v>10</v>
      </c>
      <c r="O352" s="5" t="s">
        <v>11</v>
      </c>
      <c r="P352" s="5" t="s">
        <v>12</v>
      </c>
      <c r="Q352" s="5" t="s">
        <v>13</v>
      </c>
      <c r="R352" s="5" t="s">
        <v>7</v>
      </c>
      <c r="S352" s="8"/>
    </row>
    <row r="353" spans="1:19" x14ac:dyDescent="0.3">
      <c r="A353" s="9" t="e">
        <f>IF(C353="","",MAX($A$2:A352)+1)</f>
        <v>#REF!</v>
      </c>
      <c r="B353" s="10" t="s">
        <v>0</v>
      </c>
      <c r="C353" s="11">
        <v>46096</v>
      </c>
      <c r="D353" s="13" t="str">
        <f>_xlfn.XLOOKUP([1]!Table134526_79101120212223242526[[#This Row],[Name Surname]],[1]Manpower!$C$4:$C$1048576,[1]Manpower!$B$4:$B$1048576,"")</f>
        <v>Encogroup</v>
      </c>
      <c r="E353" s="13" t="s">
        <v>8</v>
      </c>
      <c r="F353" s="12">
        <f>_xlfn.XLOOKUP([1]!Table134526_79101120212223242526[[#This Row],[Name Surname]],[1]Manpower!C:C,[1]Manpower!D:D,)</f>
        <v>140846684</v>
      </c>
      <c r="G353" s="13" t="str">
        <f>_xlfn.XLOOKUP([1]!Table134526_79101120212223242526[[#This Row],[Name Surname]],[1]Manpower!$C$4:$C$1048576,[1]Manpower!$F$4:$F$1048576,"")</f>
        <v>Assistant/Helper</v>
      </c>
      <c r="H353" s="13" t="str">
        <f>_xlfn.XLOOKUP([1]!Table134526_79101120212223242526[[#This Row],[Name Surname]],[1]Manpower!$C$4:$C$1048576,[1]Manpower!$H$4:$H$1048576,"")</f>
        <v>Manpower</v>
      </c>
      <c r="I353" s="13" t="str">
        <f>_xlfn.XLOOKUP([1]!Table134526_79101120212223242526[[#This Row],[Name Surname]],[1]Manpower!$C$4:$C$1048576,[1]Manpower!$H$4:$H$1048576,"")</f>
        <v>Manpower</v>
      </c>
      <c r="J353" s="13" t="s">
        <v>9</v>
      </c>
      <c r="K353" s="13" t="s">
        <v>7</v>
      </c>
      <c r="L353" s="13" t="s">
        <v>10</v>
      </c>
      <c r="M353" s="13" t="s">
        <v>5</v>
      </c>
      <c r="N353" s="14">
        <v>10</v>
      </c>
      <c r="O353" s="13" t="s">
        <v>11</v>
      </c>
      <c r="P353" s="13" t="s">
        <v>12</v>
      </c>
      <c r="Q353" s="13" t="s">
        <v>13</v>
      </c>
      <c r="R353" s="13" t="s">
        <v>7</v>
      </c>
      <c r="S353" s="15"/>
    </row>
    <row r="354" spans="1:19" x14ac:dyDescent="0.3">
      <c r="A354" s="1" t="e">
        <f>IF(C354="","",MAX($A$2:A353)+1)</f>
        <v>#REF!</v>
      </c>
      <c r="B354" s="10" t="s">
        <v>0</v>
      </c>
      <c r="C354" s="3">
        <v>46096</v>
      </c>
      <c r="D354" s="5" t="str">
        <f>_xlfn.XLOOKUP([1]!Table134526_79101120212223242526[[#This Row],[Name Surname]],[1]Manpower!$C$4:$C$1048576,[1]Manpower!$B$4:$B$1048576,"")</f>
        <v>Encogroup</v>
      </c>
      <c r="E354" s="5" t="s">
        <v>17</v>
      </c>
      <c r="F354" s="4">
        <f>_xlfn.XLOOKUP([1]!Table134526_79101120212223242526[[#This Row],[Name Surname]],[1]Manpower!C:C,[1]Manpower!D:D,)</f>
        <v>141250908</v>
      </c>
      <c r="G354" s="5" t="str">
        <f>_xlfn.XLOOKUP([1]!Table134526_79101120212223242526[[#This Row],[Name Surname]],[1]Manpower!$C$4:$C$1048576,[1]Manpower!$F$4:$F$1048576,"")</f>
        <v>Mechanical Engineer</v>
      </c>
      <c r="H354" s="5" t="str">
        <f>_xlfn.XLOOKUP([1]!Table134526_79101120212223242526[[#This Row],[Name Surname]],[1]Manpower!$C$4:$C$1048576,[1]Manpower!$H$4:$H$1048576,"")</f>
        <v>Manpower</v>
      </c>
      <c r="I354" s="5" t="str">
        <f>_xlfn.XLOOKUP([1]!Table134526_79101120212223242526[[#This Row],[Name Surname]],[1]Manpower!$C$4:$C$1048576,[1]Manpower!$H$4:$H$1048576,"")</f>
        <v>Manpower</v>
      </c>
      <c r="J354" s="5" t="s">
        <v>9</v>
      </c>
      <c r="K354" s="5" t="s">
        <v>7</v>
      </c>
      <c r="L354" s="5" t="s">
        <v>10</v>
      </c>
      <c r="M354" s="5" t="s">
        <v>5</v>
      </c>
      <c r="N354" s="6">
        <v>10</v>
      </c>
      <c r="O354" s="5" t="s">
        <v>6</v>
      </c>
      <c r="P354" s="5" t="s">
        <v>12</v>
      </c>
      <c r="Q354" s="5" t="s">
        <v>29</v>
      </c>
      <c r="R354" s="5" t="s">
        <v>7</v>
      </c>
      <c r="S354" s="8"/>
    </row>
    <row r="355" spans="1:19" x14ac:dyDescent="0.3">
      <c r="A355" s="9" t="e">
        <f>IF(C355="","",MAX($A$2:A354)+1)</f>
        <v>#REF!</v>
      </c>
      <c r="B355" s="10" t="s">
        <v>0</v>
      </c>
      <c r="C355" s="11">
        <v>46096</v>
      </c>
      <c r="D355" s="13" t="str">
        <f>_xlfn.XLOOKUP([1]!Table134526_79101120212223242526[[#This Row],[Name Surname]],[1]Manpower!$C$4:$C$1048576,[1]Manpower!$B$4:$B$1048576,"")</f>
        <v>Encogroup</v>
      </c>
      <c r="E355" s="13" t="s">
        <v>15</v>
      </c>
      <c r="F355" s="12" t="e">
        <f>_xlfn.XLOOKUP([1]!Table134526_79101120212223242526[[#This Row],[Name Surname]],[1]Manpower!C:C,[1]Manpower!D:D,)</f>
        <v>#N/A</v>
      </c>
      <c r="G355" s="13" t="str">
        <f>_xlfn.XLOOKUP([1]!Table134526_79101120212223242526[[#This Row],[Name Surname]],[1]Manpower!$C$4:$C$1048576,[1]Manpower!$F$4:$F$1048576,"")</f>
        <v>13 Seat Bus</v>
      </c>
      <c r="H355" s="13" t="str">
        <f>_xlfn.XLOOKUP([1]!Table134526_79101120212223242526[[#This Row],[Name Surname]],[1]Manpower!$C$4:$C$1048576,[1]Manpower!$H$4:$H$1048576,"")</f>
        <v>Equipment</v>
      </c>
      <c r="I355" s="13" t="str">
        <f>_xlfn.XLOOKUP([1]!Table134526_79101120212223242526[[#This Row],[Name Surname]],[1]Manpower!$C$4:$C$1048576,[1]Manpower!$H$4:$H$1048576,"")</f>
        <v>Equipment</v>
      </c>
      <c r="J355" s="13" t="s">
        <v>9</v>
      </c>
      <c r="K355" s="13" t="s">
        <v>7</v>
      </c>
      <c r="L355" s="13" t="s">
        <v>10</v>
      </c>
      <c r="M355" s="13" t="s">
        <v>5</v>
      </c>
      <c r="N355" s="14">
        <v>10</v>
      </c>
      <c r="O355" s="13" t="s">
        <v>6</v>
      </c>
      <c r="P355" s="13" t="s">
        <v>12</v>
      </c>
      <c r="Q355" s="13" t="s">
        <v>29</v>
      </c>
      <c r="R355" s="13"/>
      <c r="S355" s="15"/>
    </row>
    <row r="356" spans="1:19" x14ac:dyDescent="0.3">
      <c r="A356" s="1" t="e">
        <f>IF(C356="","",MAX($A$2:A355)+1)</f>
        <v>#REF!</v>
      </c>
      <c r="B356" s="10" t="s">
        <v>0</v>
      </c>
      <c r="C356" s="3">
        <v>46096</v>
      </c>
      <c r="D356" s="3" t="str">
        <f>_xlfn.XLOOKUP([1]!Table134526_79101120212223242526[[#This Row],[Name Surname]],[1]Manpower!$C$4:$C$1048576,[1]Manpower!$B$4:$B$1048576,"")</f>
        <v>Encogroup</v>
      </c>
      <c r="E356" s="3" t="s">
        <v>20</v>
      </c>
      <c r="F356" s="4" t="e">
        <f>_xlfn.XLOOKUP([1]!Table134526_79101120212223242526[[#This Row],[Name Surname]],[1]Manpower!C:C,[1]Manpower!D:D,)</f>
        <v>#N/A</v>
      </c>
      <c r="G356" s="3" t="str">
        <f>_xlfn.XLOOKUP([1]!Table134526_79101120212223242526[[#This Row],[Name Surname]],[1]Manpower!$C$4:$C$1048576,[1]Manpower!$F$4:$F$1048576,"")</f>
        <v>15 Seat Bus</v>
      </c>
      <c r="H356" s="3" t="str">
        <f>_xlfn.XLOOKUP([1]!Table134526_79101120212223242526[[#This Row],[Name Surname]],[1]Manpower!$C$4:$C$1048576,[1]Manpower!$H$4:$H$1048576,"")</f>
        <v>Equipment</v>
      </c>
      <c r="I356" s="3" t="str">
        <f>_xlfn.XLOOKUP([1]!Table134526_79101120212223242526[[#This Row],[Name Surname]],[1]Manpower!$C$4:$C$1048576,[1]Manpower!$H$4:$H$1048576,"")</f>
        <v>Equipment</v>
      </c>
      <c r="J356" s="5" t="s">
        <v>9</v>
      </c>
      <c r="K356" s="5" t="s">
        <v>7</v>
      </c>
      <c r="L356" s="5" t="s">
        <v>10</v>
      </c>
      <c r="M356" s="5" t="s">
        <v>5</v>
      </c>
      <c r="N356" s="6">
        <v>10</v>
      </c>
      <c r="O356" s="5" t="s">
        <v>6</v>
      </c>
      <c r="P356" s="5" t="s">
        <v>12</v>
      </c>
      <c r="Q356" s="5" t="s">
        <v>12</v>
      </c>
      <c r="R356" s="5" t="s">
        <v>7</v>
      </c>
      <c r="S356" s="8"/>
    </row>
    <row r="357" spans="1:19" x14ac:dyDescent="0.3">
      <c r="A357" s="9" t="e">
        <f>IF(C357="","",MAX($A$2:A356)+1)</f>
        <v>#REF!</v>
      </c>
      <c r="B357" s="16" t="s">
        <v>21</v>
      </c>
      <c r="C357" s="11">
        <v>46096</v>
      </c>
      <c r="D357" s="13" t="str">
        <f>_xlfn.XLOOKUP([1]!Table134526_79101120212223242526[[#This Row],[Name Surname]],[1]Manpower!$C$4:$C$1048576,[1]Manpower!$B$4:$B$1048576,"")</f>
        <v>Nass Group</v>
      </c>
      <c r="E357" s="13" t="s">
        <v>22</v>
      </c>
      <c r="F357" s="12" t="e">
        <f>_xlfn.XLOOKUP([1]!Table134526_79101120212223242526[[#This Row],[Name Surname]],[1]Manpower!C:C,[1]Manpower!D:D,)</f>
        <v>#N/A</v>
      </c>
      <c r="G357" s="13" t="str">
        <f>_xlfn.XLOOKUP([1]!Table134526_79101120212223242526[[#This Row],[Name Surname]],[1]Manpower!$C$4:$C$1048576,[1]Manpower!$F$4:$F$1048576,"")</f>
        <v>130T Crawler Crane</v>
      </c>
      <c r="H357" s="13" t="str">
        <f>_xlfn.XLOOKUP([1]!Table134526_79101120212223242526[[#This Row],[Name Surname]],[1]Manpower!$C$4:$C$1048576,[1]Manpower!$H$4:$H$1048576,"")</f>
        <v>Equipment</v>
      </c>
      <c r="I357" s="13" t="str">
        <f>_xlfn.XLOOKUP([1]!Table134526_79101120212223242526[[#This Row],[Name Surname]],[1]Manpower!$C$4:$C$1048576,[1]Manpower!$H$4:$H$1048576,"")</f>
        <v>Equipment</v>
      </c>
      <c r="J357" s="13" t="s">
        <v>23</v>
      </c>
      <c r="K357" s="13" t="s">
        <v>72</v>
      </c>
      <c r="L357" s="13" t="s">
        <v>25</v>
      </c>
      <c r="M357" s="13" t="s">
        <v>5</v>
      </c>
      <c r="N357" s="14">
        <v>10</v>
      </c>
      <c r="O357" s="13" t="s">
        <v>6</v>
      </c>
      <c r="P357" s="13" t="s">
        <v>12</v>
      </c>
      <c r="Q357" s="13" t="s">
        <v>26</v>
      </c>
      <c r="R357" s="13" t="s">
        <v>95</v>
      </c>
      <c r="S357" s="15"/>
    </row>
    <row r="358" spans="1:19" x14ac:dyDescent="0.3">
      <c r="A358" s="1" t="e">
        <f>IF(C358="","",MAX($A$2:A357)+1)</f>
        <v>#REF!</v>
      </c>
      <c r="B358" s="16" t="s">
        <v>21</v>
      </c>
      <c r="C358" s="3">
        <v>46096</v>
      </c>
      <c r="D358" s="5" t="str">
        <f>_xlfn.XLOOKUP([1]!Table134526_79101120212223242526[[#This Row],[Name Surname]],[1]Manpower!$C$4:$C$1048576,[1]Manpower!$B$4:$B$1048576,"")</f>
        <v>Nass Group</v>
      </c>
      <c r="E358" s="5" t="s">
        <v>28</v>
      </c>
      <c r="F358" s="4" t="e">
        <f>_xlfn.XLOOKUP([1]!Table134526_79101120212223242526[[#This Row],[Name Surname]],[1]Manpower!C:C,[1]Manpower!D:D,)</f>
        <v>#N/A</v>
      </c>
      <c r="G358" s="5" t="str">
        <f>_xlfn.XLOOKUP([1]!Table134526_79101120212223242526[[#This Row],[Name Surname]],[1]Manpower!$C$4:$C$1048576,[1]Manpower!$F$4:$F$1048576,"")</f>
        <v>70T-Telescopic crane</v>
      </c>
      <c r="H358" s="5" t="str">
        <f>_xlfn.XLOOKUP([1]!Table134526_79101120212223242526[[#This Row],[Name Surname]],[1]Manpower!$C$4:$C$1048576,[1]Manpower!$H$4:$H$1048576,"")</f>
        <v>Equipment</v>
      </c>
      <c r="I358" s="5" t="str">
        <f>_xlfn.XLOOKUP([1]!Table134526_79101120212223242526[[#This Row],[Name Surname]],[1]Manpower!$C$4:$C$1048576,[1]Manpower!$H$4:$H$1048576,"")</f>
        <v>Equipment</v>
      </c>
      <c r="J358" s="5" t="s">
        <v>23</v>
      </c>
      <c r="K358" s="5" t="s">
        <v>72</v>
      </c>
      <c r="L358" s="5" t="s">
        <v>25</v>
      </c>
      <c r="M358" s="5" t="s">
        <v>5</v>
      </c>
      <c r="N358" s="6">
        <v>10</v>
      </c>
      <c r="O358" s="5" t="s">
        <v>6</v>
      </c>
      <c r="P358" s="5" t="s">
        <v>12</v>
      </c>
      <c r="Q358" s="5" t="s">
        <v>26</v>
      </c>
      <c r="R358" s="5" t="s">
        <v>95</v>
      </c>
      <c r="S358" s="8"/>
    </row>
    <row r="359" spans="1:19" x14ac:dyDescent="0.3">
      <c r="A359" s="9" t="e">
        <f>IF(C359="","",MAX($A$2:A358)+1)</f>
        <v>#REF!</v>
      </c>
      <c r="B359" s="16" t="s">
        <v>21</v>
      </c>
      <c r="C359" s="11">
        <v>46096</v>
      </c>
      <c r="D359" s="13" t="str">
        <f>_xlfn.XLOOKUP([1]!Table134526_79101120212223242526[[#This Row],[Name Surname]],[1]Manpower!$C$4:$C$1048576,[1]Manpower!$B$4:$B$1048576,"")</f>
        <v>Encogroup</v>
      </c>
      <c r="E359" s="13" t="s">
        <v>31</v>
      </c>
      <c r="F359" s="12" t="e">
        <f>_xlfn.XLOOKUP([1]!Table134526_79101120212223242526[[#This Row],[Name Surname]],[1]Manpower!C:C,[1]Manpower!D:D,)</f>
        <v>#N/A</v>
      </c>
      <c r="G359" s="13" t="str">
        <f>_xlfn.XLOOKUP([1]!Table134526_79101120212223242526[[#This Row],[Name Surname]],[1]Manpower!$C$4:$C$1048576,[1]Manpower!$F$4:$F$1048576,"")</f>
        <v>14T Fork lift</v>
      </c>
      <c r="H359" s="13" t="str">
        <f>_xlfn.XLOOKUP([1]!Table134526_79101120212223242526[[#This Row],[Name Surname]],[1]Manpower!$C$4:$C$1048576,[1]Manpower!$H$4:$H$1048576,"")</f>
        <v>Equipment</v>
      </c>
      <c r="I359" s="13" t="str">
        <f>_xlfn.XLOOKUP([1]!Table134526_79101120212223242526[[#This Row],[Name Surname]],[1]Manpower!$C$4:$C$1048576,[1]Manpower!$H$4:$H$1048576,"")</f>
        <v>Equipment</v>
      </c>
      <c r="J359" s="13" t="s">
        <v>23</v>
      </c>
      <c r="K359" s="13" t="s">
        <v>96</v>
      </c>
      <c r="L359" s="13" t="s">
        <v>25</v>
      </c>
      <c r="M359" s="13" t="s">
        <v>5</v>
      </c>
      <c r="N359" s="14">
        <v>10</v>
      </c>
      <c r="O359" s="13" t="s">
        <v>11</v>
      </c>
      <c r="P359" s="13" t="s">
        <v>12</v>
      </c>
      <c r="Q359" s="13" t="s">
        <v>13</v>
      </c>
      <c r="R359" s="13" t="s">
        <v>97</v>
      </c>
      <c r="S359" s="15"/>
    </row>
    <row r="360" spans="1:19" x14ac:dyDescent="0.3">
      <c r="A360" s="1" t="e">
        <f>IF(C360="","",MAX($A$2:A359)+1)</f>
        <v>#REF!</v>
      </c>
      <c r="B360" s="16" t="s">
        <v>21</v>
      </c>
      <c r="C360" s="3">
        <v>46096</v>
      </c>
      <c r="D360" s="5" t="str">
        <f>_xlfn.XLOOKUP([1]!Table134526_79101120212223242526[[#This Row],[Name Surname]],[1]Manpower!$C$4:$C$1048576,[1]Manpower!$B$4:$B$1048576,"")</f>
        <v>Al Jaber Heavy Lift</v>
      </c>
      <c r="E360" s="3" t="s">
        <v>32</v>
      </c>
      <c r="F360" s="4" t="e">
        <f>_xlfn.XLOOKUP([1]!Table134526_79101120212223242526[[#This Row],[Name Surname]],[1]Manpower!C:C,[1]Manpower!D:D,)</f>
        <v>#N/A</v>
      </c>
      <c r="G360" s="5" t="str">
        <f>_xlfn.XLOOKUP([1]!Table134526_79101120212223242526[[#This Row],[Name Surname]],[1]Manpower!$C$4:$C$1048576,[1]Manpower!$F$4:$F$1048576,"")</f>
        <v>150T-Crawler Crane</v>
      </c>
      <c r="H360" s="5" t="str">
        <f>_xlfn.XLOOKUP([1]!Table134526_79101120212223242526[[#This Row],[Name Surname]],[1]Manpower!$C$4:$C$1048576,[1]Manpower!$H$4:$H$1048576,"")</f>
        <v>Equipment</v>
      </c>
      <c r="I360" s="5" t="str">
        <f>_xlfn.XLOOKUP([1]!Table134526_79101120212223242526[[#This Row],[Name Surname]],[1]Manpower!$C$4:$C$1048576,[1]Manpower!$H$4:$H$1048576,"")</f>
        <v>Equipment</v>
      </c>
      <c r="J360" s="5" t="s">
        <v>23</v>
      </c>
      <c r="K360" s="5" t="s">
        <v>96</v>
      </c>
      <c r="L360" s="5" t="s">
        <v>25</v>
      </c>
      <c r="M360" s="5" t="s">
        <v>5</v>
      </c>
      <c r="N360" s="6">
        <v>10</v>
      </c>
      <c r="O360" s="5" t="s">
        <v>35</v>
      </c>
      <c r="P360" s="5" t="s">
        <v>35</v>
      </c>
      <c r="Q360" s="5" t="s">
        <v>35</v>
      </c>
      <c r="R360" s="5" t="s">
        <v>7</v>
      </c>
      <c r="S360" s="8"/>
    </row>
    <row r="361" spans="1:19" x14ac:dyDescent="0.3">
      <c r="A361" s="9" t="e">
        <f>IF(C361="","",MAX($A$2:A359)+1)</f>
        <v>#REF!</v>
      </c>
      <c r="B361" s="16" t="s">
        <v>21</v>
      </c>
      <c r="C361" s="11">
        <v>46096</v>
      </c>
      <c r="D361" s="13" t="str">
        <f>_xlfn.XLOOKUP([1]!Table134526_79101120212223242526[[#This Row],[Name Surname]],[1]Manpower!$C$4:$C$1048576,[1]Manpower!$B$4:$B$1048576,"")</f>
        <v>Encogroup</v>
      </c>
      <c r="E361" s="11" t="s">
        <v>34</v>
      </c>
      <c r="F361" s="12" t="e">
        <f>_xlfn.XLOOKUP([1]!Table134526_79101120212223242526[[#This Row],[Name Surname]],[1]Manpower!C:C,[1]Manpower!D:D,)</f>
        <v>#N/A</v>
      </c>
      <c r="G361" s="13" t="str">
        <f>_xlfn.XLOOKUP([1]!Table134526_79101120212223242526[[#This Row],[Name Surname]],[1]Manpower!$C$4:$C$1048576,[1]Manpower!$F$4:$F$1048576,"")</f>
        <v>22 Seat Bus</v>
      </c>
      <c r="H361" s="13" t="str">
        <f>_xlfn.XLOOKUP([1]!Table134526_79101120212223242526[[#This Row],[Name Surname]],[1]Manpower!$C$4:$C$1048576,[1]Manpower!$H$4:$H$1048576,"")</f>
        <v>Equipment</v>
      </c>
      <c r="I361" s="13" t="str">
        <f>_xlfn.XLOOKUP([1]!Table134526_79101120212223242526[[#This Row],[Name Surname]],[1]Manpower!$C$4:$C$1048576,[1]Manpower!$H$4:$H$1048576,"")</f>
        <v>Equipment</v>
      </c>
      <c r="J361" s="13" t="s">
        <v>23</v>
      </c>
      <c r="K361" s="13" t="s">
        <v>96</v>
      </c>
      <c r="L361" s="13" t="s">
        <v>25</v>
      </c>
      <c r="M361" s="13" t="s">
        <v>5</v>
      </c>
      <c r="N361" s="14">
        <v>10</v>
      </c>
      <c r="O361" s="13" t="s">
        <v>35</v>
      </c>
      <c r="P361" s="13" t="s">
        <v>35</v>
      </c>
      <c r="Q361" s="13" t="s">
        <v>35</v>
      </c>
      <c r="R361" s="13" t="s">
        <v>7</v>
      </c>
      <c r="S361" s="15"/>
    </row>
    <row r="362" spans="1:19" x14ac:dyDescent="0.3">
      <c r="A362" s="1" t="e">
        <f>IF(C362="","",MAX($A$2:A361)+1)</f>
        <v>#REF!</v>
      </c>
      <c r="B362" s="17" t="s">
        <v>36</v>
      </c>
      <c r="C362" s="3">
        <v>46096</v>
      </c>
      <c r="D362" s="5" t="str">
        <f>_xlfn.XLOOKUP([1]!Table134526_79101120212223242526[[#This Row],[Name Surname]],[1]Manpower!$C$4:$C$1048576,[1]Manpower!$B$4:$B$1048576,"")</f>
        <v>Encogroup</v>
      </c>
      <c r="E362" s="5" t="s">
        <v>37</v>
      </c>
      <c r="F362" s="4" t="e">
        <f>_xlfn.XLOOKUP([1]!Table134526_79101120212223242526[[#This Row],[Name Surname]],[1]Manpower!C:C,[1]Manpower!D:D,)</f>
        <v>#N/A</v>
      </c>
      <c r="G362" s="5" t="str">
        <f>_xlfn.XLOOKUP([1]!Table134526_79101120212223242526[[#This Row],[Name Surname]],[1]Manpower!$C$4:$C$1048576,[1]Manpower!$F$4:$F$1048576,"")</f>
        <v>22 Seat Bus</v>
      </c>
      <c r="H362" s="5" t="str">
        <f>_xlfn.XLOOKUP([1]!Table134526_79101120212223242526[[#This Row],[Name Surname]],[1]Manpower!$C$4:$C$1048576,[1]Manpower!$H$4:$H$1048576,"")</f>
        <v>Equipment</v>
      </c>
      <c r="I362" s="5" t="str">
        <f>_xlfn.XLOOKUP([1]!Table134526_79101120212223242526[[#This Row],[Name Surname]],[1]Manpower!$C$4:$C$1048576,[1]Manpower!$H$4:$H$1048576,"")</f>
        <v>Equipment</v>
      </c>
      <c r="J362" s="5" t="s">
        <v>38</v>
      </c>
      <c r="K362" s="5" t="s">
        <v>7</v>
      </c>
      <c r="L362" s="5" t="s">
        <v>39</v>
      </c>
      <c r="M362" s="5" t="s">
        <v>5</v>
      </c>
      <c r="N362" s="6">
        <v>10</v>
      </c>
      <c r="O362" s="5" t="s">
        <v>33</v>
      </c>
      <c r="P362" s="5" t="s">
        <v>33</v>
      </c>
      <c r="Q362" s="5" t="s">
        <v>33</v>
      </c>
      <c r="R362" s="5" t="s">
        <v>7</v>
      </c>
      <c r="S362" s="8"/>
    </row>
    <row r="363" spans="1:19" x14ac:dyDescent="0.3">
      <c r="A363" s="9" t="e">
        <f>IF(C363="","",MAX($A$2:A362)+1)</f>
        <v>#REF!</v>
      </c>
      <c r="B363" s="17" t="s">
        <v>36</v>
      </c>
      <c r="C363" s="11">
        <v>46096</v>
      </c>
      <c r="D363" s="13" t="str">
        <f>_xlfn.XLOOKUP([1]!Table134526_79101120212223242526[[#This Row],[Name Surname]],[1]Manpower!$C$4:$C$1048576,[1]Manpower!$B$4:$B$1048576,"")</f>
        <v>Encogroup</v>
      </c>
      <c r="E363" s="13" t="s">
        <v>40</v>
      </c>
      <c r="F363" s="12" t="e">
        <f>_xlfn.XLOOKUP([1]!Table134526_79101120212223242526[[#This Row],[Name Surname]],[1]Manpower!C:C,[1]Manpower!D:D,)</f>
        <v>#N/A</v>
      </c>
      <c r="G363" s="13" t="str">
        <f>_xlfn.XLOOKUP([1]!Table134526_79101120212223242526[[#This Row],[Name Surname]],[1]Manpower!$C$4:$C$1048576,[1]Manpower!$F$4:$F$1048576,"")</f>
        <v>300 KVA Generator</v>
      </c>
      <c r="H363" s="13" t="str">
        <f>_xlfn.XLOOKUP([1]!Table134526_79101120212223242526[[#This Row],[Name Surname]],[1]Manpower!$C$4:$C$1048576,[1]Manpower!$H$4:$H$1048576,"")</f>
        <v>Equipment</v>
      </c>
      <c r="I363" s="13" t="str">
        <f>_xlfn.XLOOKUP([1]!Table134526_79101120212223242526[[#This Row],[Name Surname]],[1]Manpower!$C$4:$C$1048576,[1]Manpower!$H$4:$H$1048576,"")</f>
        <v>Equipment</v>
      </c>
      <c r="J363" s="13" t="s">
        <v>38</v>
      </c>
      <c r="K363" s="13" t="s">
        <v>7</v>
      </c>
      <c r="L363" s="13" t="s">
        <v>39</v>
      </c>
      <c r="M363" s="13" t="s">
        <v>5</v>
      </c>
      <c r="N363" s="14">
        <v>10</v>
      </c>
      <c r="O363" s="13" t="s">
        <v>33</v>
      </c>
      <c r="P363" s="13" t="s">
        <v>33</v>
      </c>
      <c r="Q363" s="13" t="s">
        <v>33</v>
      </c>
      <c r="R363" s="13" t="s">
        <v>7</v>
      </c>
      <c r="S363" s="15"/>
    </row>
    <row r="364" spans="1:19" x14ac:dyDescent="0.3">
      <c r="A364" s="1" t="e">
        <f>IF(C364="","",MAX($A$2:A362)+1)</f>
        <v>#REF!</v>
      </c>
      <c r="B364" s="17" t="s">
        <v>36</v>
      </c>
      <c r="C364" s="3">
        <v>46096</v>
      </c>
      <c r="D364" s="5" t="str">
        <f>_xlfn.XLOOKUP([1]!Table134526_79101120212223242526[[#This Row],[Name Surname]],[1]Manpower!$C$4:$C$1048576,[1]Manpower!$B$4:$B$1048576,"")</f>
        <v>Encogroup</v>
      </c>
      <c r="E364" s="5" t="s">
        <v>41</v>
      </c>
      <c r="F364" s="4" t="e">
        <f>_xlfn.XLOOKUP([1]!Table134526_79101120212223242526[[#This Row],[Name Surname]],[1]Manpower!C:C,[1]Manpower!D:D,)</f>
        <v>#N/A</v>
      </c>
      <c r="G364" s="5" t="str">
        <f>_xlfn.XLOOKUP([1]!Table134526_79101120212223242526[[#This Row],[Name Surname]],[1]Manpower!$C$4:$C$1048576,[1]Manpower!$F$4:$F$1048576,"")</f>
        <v>35 KVA Generator</v>
      </c>
      <c r="H364" s="5" t="str">
        <f>_xlfn.XLOOKUP([1]!Table134526_79101120212223242526[[#This Row],[Name Surname]],[1]Manpower!$C$4:$C$1048576,[1]Manpower!$H$4:$H$1048576,"")</f>
        <v>Equipment</v>
      </c>
      <c r="I364" s="5" t="str">
        <f>_xlfn.XLOOKUP([1]!Table134526_79101120212223242526[[#This Row],[Name Surname]],[1]Manpower!$C$4:$C$1048576,[1]Manpower!$H$4:$H$1048576,"")</f>
        <v>Equipment</v>
      </c>
      <c r="J364" s="5" t="s">
        <v>38</v>
      </c>
      <c r="K364" s="5" t="s">
        <v>7</v>
      </c>
      <c r="L364" s="5" t="s">
        <v>39</v>
      </c>
      <c r="M364" s="5" t="s">
        <v>18</v>
      </c>
      <c r="N364" s="6">
        <v>10</v>
      </c>
      <c r="O364" s="5"/>
      <c r="P364" s="5"/>
      <c r="Q364" s="5"/>
      <c r="R364" s="5" t="s">
        <v>75</v>
      </c>
      <c r="S364" s="8"/>
    </row>
    <row r="365" spans="1:19" x14ac:dyDescent="0.3">
      <c r="A365" s="9" t="e">
        <f>IF(C365="","",MAX($A$2:A364)+1)</f>
        <v>#REF!</v>
      </c>
      <c r="B365" s="17" t="s">
        <v>36</v>
      </c>
      <c r="C365" s="11">
        <v>46096</v>
      </c>
      <c r="D365" s="13" t="str">
        <f>_xlfn.XLOOKUP([1]!Table134526_79101120212223242526[[#This Row],[Name Surname]],[1]Manpower!$C$4:$C$1048576,[1]Manpower!$B$4:$B$1048576,"")</f>
        <v>Encogroup</v>
      </c>
      <c r="E365" s="13" t="s">
        <v>1</v>
      </c>
      <c r="F365" s="12">
        <f>_xlfn.XLOOKUP([1]!Table134526_79101120212223242526[[#This Row],[Name Surname]],[1]Manpower!C:C,[1]Manpower!D:D,)</f>
        <v>140742144</v>
      </c>
      <c r="G365" s="13" t="str">
        <f>_xlfn.XLOOKUP([1]!Table134526_79101120212223242526[[#This Row],[Name Surname]],[1]Manpower!$C$4:$C$1048576,[1]Manpower!$F$4:$F$1048576,"")</f>
        <v>Assistant/Helper</v>
      </c>
      <c r="H365" s="13" t="str">
        <f>_xlfn.XLOOKUP([1]!Table134526_79101120212223242526[[#This Row],[Name Surname]],[1]Manpower!$C$4:$C$1048576,[1]Manpower!$H$4:$H$1048576,"")</f>
        <v>Manpower</v>
      </c>
      <c r="I365" s="13" t="str">
        <f>_xlfn.XLOOKUP([1]!Table134526_79101120212223242526[[#This Row],[Name Surname]],[1]Manpower!$C$4:$C$1048576,[1]Manpower!$H$4:$H$1048576,"")</f>
        <v>Manpower</v>
      </c>
      <c r="J365" s="13" t="s">
        <v>38</v>
      </c>
      <c r="K365" s="13" t="s">
        <v>7</v>
      </c>
      <c r="L365" s="13" t="s">
        <v>39</v>
      </c>
      <c r="M365" s="13" t="s">
        <v>5</v>
      </c>
      <c r="N365" s="14">
        <v>10</v>
      </c>
      <c r="O365" s="13" t="s">
        <v>11</v>
      </c>
      <c r="P365" s="13" t="s">
        <v>12</v>
      </c>
      <c r="Q365" s="13" t="s">
        <v>13</v>
      </c>
      <c r="R365" s="13" t="s">
        <v>98</v>
      </c>
      <c r="S365" s="15"/>
    </row>
    <row r="366" spans="1:19" x14ac:dyDescent="0.3">
      <c r="A366" s="1" t="e">
        <f>IF(C366="","",MAX($A$2:A365)+1)</f>
        <v>#REF!</v>
      </c>
      <c r="B366" s="17" t="s">
        <v>36</v>
      </c>
      <c r="C366" s="3">
        <v>46096</v>
      </c>
      <c r="D366" s="5" t="str">
        <f>_xlfn.XLOOKUP([1]!Table134526_79101120212223242526[[#This Row],[Name Surname]],[1]Manpower!$C$4:$C$1048576,[1]Manpower!$B$4:$B$1048576,"")</f>
        <v>SARENS NASS</v>
      </c>
      <c r="E366" s="5" t="s">
        <v>45</v>
      </c>
      <c r="F366" s="4">
        <f>_xlfn.XLOOKUP([1]!Table134526_79101120212223242526[[#This Row],[Name Surname]],[1]Manpower!C:C,[1]Manpower!D:D,)</f>
        <v>78753612</v>
      </c>
      <c r="G366" s="5" t="str">
        <f>_xlfn.XLOOKUP([1]!Table134526_79101120212223242526[[#This Row],[Name Surname]],[1]Manpower!$C$4:$C$1048576,[1]Manpower!$F$4:$F$1048576,"")</f>
        <v>Crane Operator- 70T Liebherr Telescopic Crane-02</v>
      </c>
      <c r="H366" s="5" t="str">
        <f>_xlfn.XLOOKUP([1]!Table134526_79101120212223242526[[#This Row],[Name Surname]],[1]Manpower!$C$4:$C$1048576,[1]Manpower!$H$4:$H$1048576,"")</f>
        <v>Manpower</v>
      </c>
      <c r="I366" s="5" t="str">
        <f>_xlfn.XLOOKUP([1]!Table134526_79101120212223242526[[#This Row],[Name Surname]],[1]Manpower!$C$4:$C$1048576,[1]Manpower!$H$4:$H$1048576,"")</f>
        <v>Manpower</v>
      </c>
      <c r="J366" s="5" t="s">
        <v>38</v>
      </c>
      <c r="K366" s="5" t="s">
        <v>7</v>
      </c>
      <c r="L366" s="5" t="s">
        <v>39</v>
      </c>
      <c r="M366" s="5" t="s">
        <v>5</v>
      </c>
      <c r="N366" s="6">
        <v>10</v>
      </c>
      <c r="O366" s="5" t="s">
        <v>11</v>
      </c>
      <c r="P366" s="5" t="s">
        <v>13</v>
      </c>
      <c r="Q366" s="5" t="s">
        <v>12</v>
      </c>
      <c r="R366" s="5" t="s">
        <v>79</v>
      </c>
      <c r="S366" s="8"/>
    </row>
    <row r="367" spans="1:19" x14ac:dyDescent="0.3">
      <c r="A367" s="9" t="e">
        <f>IF(C367="","",MAX($A$2:A366)+1)</f>
        <v>#REF!</v>
      </c>
      <c r="B367" s="17" t="s">
        <v>36</v>
      </c>
      <c r="C367" s="11">
        <v>46096</v>
      </c>
      <c r="D367" s="13" t="str">
        <f>_xlfn.XLOOKUP([1]!Table134526_79101120212223242526[[#This Row],[Name Surname]],[1]Manpower!$C$4:$C$1048576,[1]Manpower!$B$4:$B$1048576,"")</f>
        <v>Al Jaber Heavy Lift</v>
      </c>
      <c r="E367" s="13" t="s">
        <v>46</v>
      </c>
      <c r="F367" s="12">
        <f>_xlfn.XLOOKUP([1]!Table134526_79101120212223242526[[#This Row],[Name Surname]],[1]Manpower!C:C,[1]Manpower!D:D,)</f>
        <v>112778626</v>
      </c>
      <c r="G367" s="13" t="str">
        <f>_xlfn.XLOOKUP([1]!Table134526_79101120212223242526[[#This Row],[Name Surname]],[1]Manpower!$C$4:$C$1048576,[1]Manpower!$F$4:$F$1048576,"")</f>
        <v>Crane Operator-150T Hitachi Crawler</v>
      </c>
      <c r="H367" s="13" t="str">
        <f>_xlfn.XLOOKUP([1]!Table134526_79101120212223242526[[#This Row],[Name Surname]],[1]Manpower!$C$4:$C$1048576,[1]Manpower!$H$4:$H$1048576,"")</f>
        <v>Manpower</v>
      </c>
      <c r="I367" s="13" t="str">
        <f>_xlfn.XLOOKUP([1]!Table134526_79101120212223242526[[#This Row],[Name Surname]],[1]Manpower!$C$4:$C$1048576,[1]Manpower!$H$4:$H$1048576,"")</f>
        <v>Manpower</v>
      </c>
      <c r="J367" s="13" t="s">
        <v>38</v>
      </c>
      <c r="K367" s="13" t="s">
        <v>7</v>
      </c>
      <c r="L367" s="13" t="s">
        <v>39</v>
      </c>
      <c r="M367" s="13" t="s">
        <v>18</v>
      </c>
      <c r="N367" s="14">
        <v>10</v>
      </c>
      <c r="O367" s="13"/>
      <c r="P367" s="13"/>
      <c r="Q367" s="13"/>
      <c r="R367" s="13" t="s">
        <v>68</v>
      </c>
      <c r="S367" s="15"/>
    </row>
    <row r="368" spans="1:19" x14ac:dyDescent="0.3">
      <c r="A368" s="1" t="e">
        <f>IF(C368="","",MAX($A$2:A367)+1)</f>
        <v>#REF!</v>
      </c>
      <c r="B368" s="17" t="s">
        <v>36</v>
      </c>
      <c r="C368" s="3">
        <v>46096</v>
      </c>
      <c r="D368" s="5" t="str">
        <f>_xlfn.XLOOKUP([1]!Table134526_79101120212223242526[[#This Row],[Name Surname]],[1]Manpower!$C$4:$C$1048576,[1]Manpower!$B$4:$B$1048576,"")</f>
        <v>Encogroup</v>
      </c>
      <c r="E368" s="5" t="s">
        <v>48</v>
      </c>
      <c r="F368" s="4" t="str">
        <f>_xlfn.XLOOKUP([1]!Table134526_79101120212223242526[[#This Row],[Name Surname]],[1]Manpower!C:C,[1]Manpower!D:D,)</f>
        <v>U4181508</v>
      </c>
      <c r="G368" s="5" t="str">
        <f>_xlfn.XLOOKUP([1]!Table134526_79101120212223242526[[#This Row],[Name Surname]],[1]Manpower!$C$4:$C$1048576,[1]Manpower!$F$4:$F$1048576,"")</f>
        <v>Welder</v>
      </c>
      <c r="H368" s="5" t="str">
        <f>_xlfn.XLOOKUP([1]!Table134526_79101120212223242526[[#This Row],[Name Surname]],[1]Manpower!$C$4:$C$1048576,[1]Manpower!$H$4:$H$1048576,"")</f>
        <v>Manpower</v>
      </c>
      <c r="I368" s="5" t="str">
        <f>_xlfn.XLOOKUP([1]!Table134526_79101120212223242526[[#This Row],[Name Surname]],[1]Manpower!$C$4:$C$1048576,[1]Manpower!$H$4:$H$1048576,"")</f>
        <v>Manpower</v>
      </c>
      <c r="J368" s="5" t="s">
        <v>38</v>
      </c>
      <c r="K368" s="5" t="s">
        <v>7</v>
      </c>
      <c r="L368" s="5" t="s">
        <v>39</v>
      </c>
      <c r="M368" s="5" t="s">
        <v>5</v>
      </c>
      <c r="N368" s="6">
        <v>10</v>
      </c>
      <c r="O368" s="5" t="s">
        <v>33</v>
      </c>
      <c r="P368" s="5" t="s">
        <v>33</v>
      </c>
      <c r="Q368" s="5" t="s">
        <v>33</v>
      </c>
      <c r="R368" s="5" t="s">
        <v>7</v>
      </c>
      <c r="S368" s="8"/>
    </row>
    <row r="369" spans="1:19" x14ac:dyDescent="0.3">
      <c r="A369" s="9" t="e">
        <f>IF(C369="","",MAX($A$2:A368)+1)</f>
        <v>#REF!</v>
      </c>
      <c r="B369" s="17" t="s">
        <v>36</v>
      </c>
      <c r="C369" s="11">
        <v>46096</v>
      </c>
      <c r="D369" s="13" t="str">
        <f>_xlfn.XLOOKUP([1]!Table134526_79101120212223242526[[#This Row],[Name Surname]],[1]Manpower!$C$4:$C$1048576,[1]Manpower!$B$4:$B$1048576,"")</f>
        <v>Encogroup</v>
      </c>
      <c r="E369" s="13" t="s">
        <v>49</v>
      </c>
      <c r="F369" s="12">
        <f>_xlfn.XLOOKUP([1]!Table134526_79101120212223242526[[#This Row],[Name Surname]],[1]Manpower!C:C,[1]Manpower!D:D,)</f>
        <v>125440631</v>
      </c>
      <c r="G369" s="13" t="str">
        <f>_xlfn.XLOOKUP([1]!Table134526_79101120212223242526[[#This Row],[Name Surname]],[1]Manpower!$C$4:$C$1048576,[1]Manpower!$F$4:$F$1048576,"")</f>
        <v>Rigger</v>
      </c>
      <c r="H369" s="13" t="str">
        <f>_xlfn.XLOOKUP([1]!Table134526_79101120212223242526[[#This Row],[Name Surname]],[1]Manpower!$C$4:$C$1048576,[1]Manpower!$H$4:$H$1048576,"")</f>
        <v>Manpower</v>
      </c>
      <c r="I369" s="13" t="str">
        <f>_xlfn.XLOOKUP([1]!Table134526_79101120212223242526[[#This Row],[Name Surname]],[1]Manpower!$C$4:$C$1048576,[1]Manpower!$H$4:$H$1048576,"")</f>
        <v>Manpower</v>
      </c>
      <c r="J369" s="13" t="s">
        <v>38</v>
      </c>
      <c r="K369" s="13" t="s">
        <v>7</v>
      </c>
      <c r="L369" s="13" t="s">
        <v>39</v>
      </c>
      <c r="M369" s="13" t="s">
        <v>5</v>
      </c>
      <c r="N369" s="14">
        <v>10</v>
      </c>
      <c r="O369" s="13" t="s">
        <v>33</v>
      </c>
      <c r="P369" s="13" t="s">
        <v>33</v>
      </c>
      <c r="Q369" s="13" t="s">
        <v>33</v>
      </c>
      <c r="R369" s="13" t="s">
        <v>7</v>
      </c>
      <c r="S369" s="15"/>
    </row>
    <row r="370" spans="1:19" x14ac:dyDescent="0.3">
      <c r="A370" s="1" t="e">
        <f>IF(C370="","",MAX($A$2:A369)+1)</f>
        <v>#REF!</v>
      </c>
      <c r="B370" s="17" t="s">
        <v>36</v>
      </c>
      <c r="C370" s="3">
        <v>46096</v>
      </c>
      <c r="D370" s="5" t="str">
        <f>_xlfn.XLOOKUP([1]!Table134526_79101120212223242526[[#This Row],[Name Surname]],[1]Manpower!$C$4:$C$1048576,[1]Manpower!$B$4:$B$1048576,"")</f>
        <v>AL Omar International TRAD AND CONT</v>
      </c>
      <c r="E370" s="5" t="s">
        <v>50</v>
      </c>
      <c r="F370" s="4">
        <f>_xlfn.XLOOKUP([1]!Table134526_79101120212223242526[[#This Row],[Name Surname]],[1]Manpower!C:C,[1]Manpower!D:D,)</f>
        <v>115731078</v>
      </c>
      <c r="G370" s="5" t="str">
        <f>_xlfn.XLOOKUP([1]!Table134526_79101120212223242526[[#This Row],[Name Surname]],[1]Manpower!$C$4:$C$1048576,[1]Manpower!$F$4:$F$1048576,"")</f>
        <v>Scaffolder</v>
      </c>
      <c r="H370" s="5" t="str">
        <f>_xlfn.XLOOKUP([1]!Table134526_79101120212223242526[[#This Row],[Name Surname]],[1]Manpower!$C$4:$C$1048576,[1]Manpower!$H$4:$H$1048576,"")</f>
        <v>Sub Contactor</v>
      </c>
      <c r="I370" s="5" t="str">
        <f>_xlfn.XLOOKUP([1]!Table134526_79101120212223242526[[#This Row],[Name Surname]],[1]Manpower!$C$4:$C$1048576,[1]Manpower!$H$4:$H$1048576,"")</f>
        <v>Sub Contactor</v>
      </c>
      <c r="J370" s="5" t="s">
        <v>38</v>
      </c>
      <c r="K370" s="5" t="s">
        <v>7</v>
      </c>
      <c r="L370" s="5" t="s">
        <v>39</v>
      </c>
      <c r="M370" s="5" t="s">
        <v>5</v>
      </c>
      <c r="N370" s="6">
        <v>10</v>
      </c>
      <c r="O370" s="5"/>
      <c r="P370" s="5"/>
      <c r="Q370" s="5"/>
      <c r="R370" s="5" t="s">
        <v>7</v>
      </c>
      <c r="S370" s="8"/>
    </row>
    <row r="371" spans="1:19" x14ac:dyDescent="0.3">
      <c r="A371" s="9" t="e">
        <f>IF(C371="","",MAX($A$2:A370)+1)</f>
        <v>#REF!</v>
      </c>
      <c r="B371" s="17" t="s">
        <v>36</v>
      </c>
      <c r="C371" s="11">
        <v>46096</v>
      </c>
      <c r="D371" s="13" t="str">
        <f>_xlfn.XLOOKUP([1]!Table134526_79101120212223242526[[#This Row],[Name Surname]],[1]Manpower!$C$4:$C$1048576,[1]Manpower!$B$4:$B$1048576,"")</f>
        <v>Encogroup</v>
      </c>
      <c r="E371" s="11" t="s">
        <v>51</v>
      </c>
      <c r="F371" s="12">
        <f>_xlfn.XLOOKUP([1]!Table134526_79101120212223242526[[#This Row],[Name Surname]],[1]Manpower!C:C,[1]Manpower!D:D,)</f>
        <v>140764355</v>
      </c>
      <c r="G371" s="13" t="str">
        <f>_xlfn.XLOOKUP([1]!Table134526_79101120212223242526[[#This Row],[Name Surname]],[1]Manpower!$C$4:$C$1048576,[1]Manpower!$F$4:$F$1048576,"")</f>
        <v>Fitter/Erector</v>
      </c>
      <c r="H371" s="13" t="str">
        <f>_xlfn.XLOOKUP([1]!Table134526_79101120212223242526[[#This Row],[Name Surname]],[1]Manpower!$C$4:$C$1048576,[1]Manpower!$H$4:$H$1048576,"")</f>
        <v>Manpower</v>
      </c>
      <c r="I371" s="13" t="str">
        <f>_xlfn.XLOOKUP([1]!Table134526_79101120212223242526[[#This Row],[Name Surname]],[1]Manpower!$C$4:$C$1048576,[1]Manpower!$H$4:$H$1048576,"")</f>
        <v>Manpower</v>
      </c>
      <c r="J371" s="13" t="s">
        <v>38</v>
      </c>
      <c r="K371" s="13" t="s">
        <v>7</v>
      </c>
      <c r="L371" s="13" t="s">
        <v>39</v>
      </c>
      <c r="M371" s="13" t="s">
        <v>18</v>
      </c>
      <c r="N371" s="14">
        <v>10</v>
      </c>
      <c r="O371" s="13"/>
      <c r="P371" s="13"/>
      <c r="Q371" s="13"/>
      <c r="R371" s="13" t="s">
        <v>19</v>
      </c>
      <c r="S371" s="15"/>
    </row>
    <row r="372" spans="1:19" x14ac:dyDescent="0.3">
      <c r="A372" s="1" t="e">
        <f>IF(C372="","",MAX($A$2:A371)+1)</f>
        <v>#REF!</v>
      </c>
      <c r="B372" s="17" t="s">
        <v>36</v>
      </c>
      <c r="C372" s="3">
        <v>46096</v>
      </c>
      <c r="D372" s="5" t="str">
        <f>_xlfn.XLOOKUP([1]!Table134526_79101120212223242526[[#This Row],[Name Surname]],[1]Manpower!$C$4:$C$1048576,[1]Manpower!$B$4:$B$1048576,"")</f>
        <v>Encogroup</v>
      </c>
      <c r="E372" s="3" t="s">
        <v>52</v>
      </c>
      <c r="F372" s="4" t="str">
        <f>_xlfn.XLOOKUP([1]!Table134526_79101120212223242526[[#This Row],[Name Surname]],[1]Manpower!C:C,[1]Manpower!D:D,)</f>
        <v>S3549132</v>
      </c>
      <c r="G372" s="5" t="str">
        <f>_xlfn.XLOOKUP([1]!Table134526_79101120212223242526[[#This Row],[Name Surname]],[1]Manpower!$C$4:$C$1048576,[1]Manpower!$F$4:$F$1048576,"")</f>
        <v>Grinder</v>
      </c>
      <c r="H372" s="5" t="str">
        <f>_xlfn.XLOOKUP([1]!Table134526_79101120212223242526[[#This Row],[Name Surname]],[1]Manpower!$C$4:$C$1048576,[1]Manpower!$H$4:$H$1048576,"")</f>
        <v>Manpower</v>
      </c>
      <c r="I372" s="5" t="str">
        <f>_xlfn.XLOOKUP([1]!Table134526_79101120212223242526[[#This Row],[Name Surname]],[1]Manpower!$C$4:$C$1048576,[1]Manpower!$H$4:$H$1048576,"")</f>
        <v>Manpower</v>
      </c>
      <c r="J372" s="5" t="s">
        <v>38</v>
      </c>
      <c r="K372" s="5" t="s">
        <v>7</v>
      </c>
      <c r="L372" s="5" t="s">
        <v>39</v>
      </c>
      <c r="M372" s="5" t="s">
        <v>5</v>
      </c>
      <c r="N372" s="6">
        <v>8</v>
      </c>
      <c r="O372" s="5" t="s">
        <v>33</v>
      </c>
      <c r="P372" s="5" t="s">
        <v>33</v>
      </c>
      <c r="Q372" s="5" t="s">
        <v>33</v>
      </c>
      <c r="R372" s="5" t="s">
        <v>7</v>
      </c>
      <c r="S372" s="8"/>
    </row>
    <row r="373" spans="1:19" x14ac:dyDescent="0.3">
      <c r="A373" s="9" t="e">
        <f>IF(C373="","",MAX($A$2:A372)+1)</f>
        <v>#REF!</v>
      </c>
      <c r="B373" s="17" t="s">
        <v>36</v>
      </c>
      <c r="C373" s="11">
        <v>46096</v>
      </c>
      <c r="D373" s="13" t="str">
        <f>_xlfn.XLOOKUP([1]!Table134526_79101120212223242526[[#This Row],[Name Surname]],[1]Manpower!$C$4:$C$1048576,[1]Manpower!$B$4:$B$1048576,"")</f>
        <v>Encogroup</v>
      </c>
      <c r="E373" s="13" t="s">
        <v>53</v>
      </c>
      <c r="F373" s="12">
        <f>_xlfn.XLOOKUP([1]!Table134526_79101120212223242526[[#This Row],[Name Surname]],[1]Manpower!C:C,[1]Manpower!D:D,)</f>
        <v>140742125</v>
      </c>
      <c r="G373" s="13" t="str">
        <f>_xlfn.XLOOKUP([1]!Table134526_79101120212223242526[[#This Row],[Name Surname]],[1]Manpower!$C$4:$C$1048576,[1]Manpower!$F$4:$F$1048576,"")</f>
        <v>Assistant/Helper</v>
      </c>
      <c r="H373" s="13" t="str">
        <f>_xlfn.XLOOKUP([1]!Table134526_79101120212223242526[[#This Row],[Name Surname]],[1]Manpower!$C$4:$C$1048576,[1]Manpower!$H$4:$H$1048576,"")</f>
        <v>Manpower</v>
      </c>
      <c r="I373" s="13" t="str">
        <f>_xlfn.XLOOKUP([1]!Table134526_79101120212223242526[[#This Row],[Name Surname]],[1]Manpower!$C$4:$C$1048576,[1]Manpower!$H$4:$H$1048576,"")</f>
        <v>Manpower</v>
      </c>
      <c r="J373" s="13" t="s">
        <v>38</v>
      </c>
      <c r="K373" s="13" t="s">
        <v>7</v>
      </c>
      <c r="L373" s="13" t="s">
        <v>39</v>
      </c>
      <c r="M373" s="13" t="s">
        <v>5</v>
      </c>
      <c r="N373" s="14">
        <v>10</v>
      </c>
      <c r="O373" s="13" t="s">
        <v>33</v>
      </c>
      <c r="P373" s="13" t="s">
        <v>33</v>
      </c>
      <c r="Q373" s="13" t="s">
        <v>33</v>
      </c>
      <c r="R373" s="13" t="s">
        <v>7</v>
      </c>
      <c r="S373" s="15"/>
    </row>
    <row r="374" spans="1:19" x14ac:dyDescent="0.3">
      <c r="A374" s="1" t="e">
        <f>IF(C374="","",MAX($A$2:A373)+1)</f>
        <v>#REF!</v>
      </c>
      <c r="B374" s="17" t="s">
        <v>36</v>
      </c>
      <c r="C374" s="3">
        <v>46096</v>
      </c>
      <c r="D374" s="5" t="str">
        <f>_xlfn.XLOOKUP([1]!Table134526_79101120212223242526[[#This Row],[Name Surname]],[1]Manpower!$C$4:$C$1048576,[1]Manpower!$B$4:$B$1048576,"")</f>
        <v>Encogroup</v>
      </c>
      <c r="E374" s="5" t="s">
        <v>54</v>
      </c>
      <c r="F374" s="4">
        <f>_xlfn.XLOOKUP([1]!Table134526_79101120212223242526[[#This Row],[Name Surname]],[1]Manpower!C:C,[1]Manpower!D:D,)</f>
        <v>125199963</v>
      </c>
      <c r="G374" s="5" t="str">
        <f>_xlfn.XLOOKUP([1]!Table134526_79101120212223242526[[#This Row],[Name Surname]],[1]Manpower!$C$4:$C$1048576,[1]Manpower!$F$4:$F$1048576,"")</f>
        <v>Electrician</v>
      </c>
      <c r="H374" s="5" t="str">
        <f>_xlfn.XLOOKUP([1]!Table134526_79101120212223242526[[#This Row],[Name Surname]],[1]Manpower!$C$4:$C$1048576,[1]Manpower!$H$4:$H$1048576,"")</f>
        <v>Manpower</v>
      </c>
      <c r="I374" s="5" t="str">
        <f>_xlfn.XLOOKUP([1]!Table134526_79101120212223242526[[#This Row],[Name Surname]],[1]Manpower!$C$4:$C$1048576,[1]Manpower!$H$4:$H$1048576,"")</f>
        <v>Manpower</v>
      </c>
      <c r="J374" s="5" t="s">
        <v>38</v>
      </c>
      <c r="K374" s="5" t="s">
        <v>7</v>
      </c>
      <c r="L374" s="5" t="s">
        <v>39</v>
      </c>
      <c r="M374" s="5" t="s">
        <v>5</v>
      </c>
      <c r="N374" s="6">
        <v>10</v>
      </c>
      <c r="O374" s="5" t="s">
        <v>33</v>
      </c>
      <c r="P374" s="5" t="s">
        <v>33</v>
      </c>
      <c r="Q374" s="5" t="s">
        <v>33</v>
      </c>
      <c r="R374" s="5" t="s">
        <v>7</v>
      </c>
      <c r="S374" s="8"/>
    </row>
    <row r="375" spans="1:19" x14ac:dyDescent="0.3">
      <c r="A375" s="9" t="e">
        <f>IF(C375="","",MAX($A$2:A374)+1)</f>
        <v>#REF!</v>
      </c>
      <c r="B375" s="17" t="s">
        <v>36</v>
      </c>
      <c r="C375" s="11">
        <v>46096</v>
      </c>
      <c r="D375" s="13" t="str">
        <f>_xlfn.XLOOKUP([1]!Table134526_79101120212223242526[[#This Row],[Name Surname]],[1]Manpower!$C$4:$C$1048576,[1]Manpower!$B$4:$B$1048576,"")</f>
        <v>Encogroup</v>
      </c>
      <c r="E375" s="13" t="s">
        <v>55</v>
      </c>
      <c r="F375" s="12">
        <f>_xlfn.XLOOKUP([1]!Table134526_79101120212223242526[[#This Row],[Name Surname]],[1]Manpower!C:C,[1]Manpower!D:D,)</f>
        <v>124398279</v>
      </c>
      <c r="G375" s="13" t="str">
        <f>_xlfn.XLOOKUP([1]!Table134526_79101120212223242526[[#This Row],[Name Surname]],[1]Manpower!$C$4:$C$1048576,[1]Manpower!$F$4:$F$1048576,"")</f>
        <v>Permit Receiver</v>
      </c>
      <c r="H375" s="13" t="str">
        <f>_xlfn.XLOOKUP([1]!Table134526_79101120212223242526[[#This Row],[Name Surname]],[1]Manpower!$C$4:$C$1048576,[1]Manpower!$H$4:$H$1048576,"")</f>
        <v>Manpower</v>
      </c>
      <c r="I375" s="13" t="str">
        <f>_xlfn.XLOOKUP([1]!Table134526_79101120212223242526[[#This Row],[Name Surname]],[1]Manpower!$C$4:$C$1048576,[1]Manpower!$H$4:$H$1048576,"")</f>
        <v>Manpower</v>
      </c>
      <c r="J375" s="13" t="s">
        <v>38</v>
      </c>
      <c r="K375" s="13" t="s">
        <v>7</v>
      </c>
      <c r="L375" s="13" t="s">
        <v>39</v>
      </c>
      <c r="M375" s="13" t="s">
        <v>5</v>
      </c>
      <c r="N375" s="14">
        <v>10</v>
      </c>
      <c r="O375" s="13" t="s">
        <v>33</v>
      </c>
      <c r="P375" s="13" t="s">
        <v>33</v>
      </c>
      <c r="Q375" s="13" t="s">
        <v>33</v>
      </c>
      <c r="R375" s="13" t="s">
        <v>7</v>
      </c>
      <c r="S375" s="15"/>
    </row>
    <row r="376" spans="1:19" x14ac:dyDescent="0.3">
      <c r="A376" s="1" t="e">
        <f>IF(C376="","",MAX($A$2:A375)+1)</f>
        <v>#REF!</v>
      </c>
      <c r="B376" s="17" t="s">
        <v>36</v>
      </c>
      <c r="C376" s="3">
        <v>46096</v>
      </c>
      <c r="D376" s="5" t="str">
        <f>_xlfn.XLOOKUP([1]!Table134526_79101120212223242526[[#This Row],[Name Surname]],[1]Manpower!$C$4:$C$1048576,[1]Manpower!$B$4:$B$1048576,"")</f>
        <v>Encogroup</v>
      </c>
      <c r="E376" s="5" t="s">
        <v>56</v>
      </c>
      <c r="F376" s="4">
        <f>_xlfn.XLOOKUP([1]!Table134526_79101120212223242526[[#This Row],[Name Surname]],[1]Manpower!C:C,[1]Manpower!D:D,)</f>
        <v>140809004</v>
      </c>
      <c r="G376" s="5" t="str">
        <f>_xlfn.XLOOKUP([1]!Table134526_79101120212223242526[[#This Row],[Name Surname]],[1]Manpower!$C$4:$C$1048576,[1]Manpower!$F$4:$F$1048576,"")</f>
        <v>Fitter/Erector</v>
      </c>
      <c r="H376" s="5" t="str">
        <f>_xlfn.XLOOKUP([1]!Table134526_79101120212223242526[[#This Row],[Name Surname]],[1]Manpower!$C$4:$C$1048576,[1]Manpower!$H$4:$H$1048576,"")</f>
        <v>Manpower</v>
      </c>
      <c r="I376" s="5" t="str">
        <f>_xlfn.XLOOKUP([1]!Table134526_79101120212223242526[[#This Row],[Name Surname]],[1]Manpower!$C$4:$C$1048576,[1]Manpower!$H$4:$H$1048576,"")</f>
        <v>Manpower</v>
      </c>
      <c r="J376" s="5" t="s">
        <v>38</v>
      </c>
      <c r="K376" s="5" t="s">
        <v>7</v>
      </c>
      <c r="L376" s="5" t="s">
        <v>39</v>
      </c>
      <c r="M376" s="5" t="s">
        <v>5</v>
      </c>
      <c r="N376" s="6">
        <v>10</v>
      </c>
      <c r="O376" s="5" t="s">
        <v>33</v>
      </c>
      <c r="P376" s="5" t="s">
        <v>33</v>
      </c>
      <c r="Q376" s="5" t="s">
        <v>33</v>
      </c>
      <c r="R376" s="5" t="s">
        <v>7</v>
      </c>
      <c r="S376" s="8"/>
    </row>
    <row r="377" spans="1:19" x14ac:dyDescent="0.3">
      <c r="A377" s="9" t="e">
        <f>IF(C377="","",MAX($A$2:A376)+1)</f>
        <v>#REF!</v>
      </c>
      <c r="B377" s="17" t="s">
        <v>36</v>
      </c>
      <c r="C377" s="11">
        <v>46096</v>
      </c>
      <c r="D377" s="13" t="str">
        <f>_xlfn.XLOOKUP([1]!Table134526_79101120212223242526[[#This Row],[Name Surname]],[1]Manpower!$C$4:$C$1048576,[1]Manpower!$B$4:$B$1048576,"")</f>
        <v>Encogroup</v>
      </c>
      <c r="E377" s="13" t="s">
        <v>57</v>
      </c>
      <c r="F377" s="12">
        <f>_xlfn.XLOOKUP([1]!Table134526_79101120212223242526[[#This Row],[Name Surname]],[1]Manpower!C:C,[1]Manpower!D:D,)</f>
        <v>140683436</v>
      </c>
      <c r="G377" s="13" t="str">
        <f>_xlfn.XLOOKUP([1]!Table134526_79101120212223242526[[#This Row],[Name Surname]],[1]Manpower!$C$4:$C$1048576,[1]Manpower!$F$4:$F$1048576,"")</f>
        <v>Scaffolder</v>
      </c>
      <c r="H377" s="13" t="str">
        <f>_xlfn.XLOOKUP([1]!Table134526_79101120212223242526[[#This Row],[Name Surname]],[1]Manpower!$C$4:$C$1048576,[1]Manpower!$H$4:$H$1048576,"")</f>
        <v>Manpower</v>
      </c>
      <c r="I377" s="13" t="str">
        <f>_xlfn.XLOOKUP([1]!Table134526_79101120212223242526[[#This Row],[Name Surname]],[1]Manpower!$C$4:$C$1048576,[1]Manpower!$H$4:$H$1048576,"")</f>
        <v>Manpower</v>
      </c>
      <c r="J377" s="13" t="s">
        <v>38</v>
      </c>
      <c r="K377" s="13" t="s">
        <v>7</v>
      </c>
      <c r="L377" s="13" t="s">
        <v>39</v>
      </c>
      <c r="M377" s="13" t="s">
        <v>5</v>
      </c>
      <c r="N377" s="14">
        <v>8</v>
      </c>
      <c r="O377" s="13" t="s">
        <v>11</v>
      </c>
      <c r="P377" s="13" t="s">
        <v>13</v>
      </c>
      <c r="Q377" s="13" t="s">
        <v>13</v>
      </c>
      <c r="R377" s="13" t="s">
        <v>7</v>
      </c>
      <c r="S377" s="15"/>
    </row>
    <row r="378" spans="1:19" x14ac:dyDescent="0.3">
      <c r="A378" s="1" t="e">
        <f>IF(C378="","",MAX($A$2:A377)+1)</f>
        <v>#REF!</v>
      </c>
      <c r="B378" s="17" t="s">
        <v>36</v>
      </c>
      <c r="C378" s="3">
        <v>46096</v>
      </c>
      <c r="D378" s="5" t="str">
        <f>_xlfn.XLOOKUP([1]!Table134526_79101120212223242526[[#This Row],[Name Surname]],[1]Manpower!$C$4:$C$1048576,[1]Manpower!$B$4:$B$1048576,"")</f>
        <v/>
      </c>
      <c r="E378" s="3" t="s">
        <v>58</v>
      </c>
      <c r="F378" s="4" t="e">
        <f>_xlfn.XLOOKUP([1]!Table134526_79101120212223242526[[#This Row],[Name Surname]],[1]Manpower!C:C,[1]Manpower!D:D,)</f>
        <v>#N/A</v>
      </c>
      <c r="G378" s="5" t="str">
        <f>_xlfn.XLOOKUP([1]!Table134526_79101120212223242526[[#This Row],[Name Surname]],[1]Manpower!$C$4:$C$1048576,[1]Manpower!$F$4:$F$1048576,"")</f>
        <v/>
      </c>
      <c r="H378" s="5" t="str">
        <f>_xlfn.XLOOKUP([1]!Table134526_79101120212223242526[[#This Row],[Name Surname]],[1]Manpower!$C$4:$C$1048576,[1]Manpower!$H$4:$H$1048576,"")</f>
        <v/>
      </c>
      <c r="I378" s="5" t="str">
        <f>_xlfn.XLOOKUP([1]!Table134526_79101120212223242526[[#This Row],[Name Surname]],[1]Manpower!$C$4:$C$1048576,[1]Manpower!$H$4:$H$1048576,"")</f>
        <v/>
      </c>
      <c r="J378" s="5" t="s">
        <v>38</v>
      </c>
      <c r="K378" s="5" t="s">
        <v>7</v>
      </c>
      <c r="L378" s="5" t="s">
        <v>39</v>
      </c>
      <c r="M378" s="5" t="s">
        <v>18</v>
      </c>
      <c r="N378" s="6">
        <v>10</v>
      </c>
      <c r="O378" s="5"/>
      <c r="P378" s="5"/>
      <c r="Q378" s="5"/>
      <c r="R378" s="5" t="s">
        <v>19</v>
      </c>
      <c r="S378" s="8"/>
    </row>
    <row r="379" spans="1:19" x14ac:dyDescent="0.3">
      <c r="A379" s="9" t="e">
        <f>IF(C379="","",MAX($A$2:A378)+1)</f>
        <v>#REF!</v>
      </c>
      <c r="B379" s="17" t="s">
        <v>36</v>
      </c>
      <c r="C379" s="11">
        <v>46096</v>
      </c>
      <c r="D379" s="13" t="str">
        <f>_xlfn.XLOOKUP([1]!Table134526_79101120212223242526[[#This Row],[Name Surname]],[1]Manpower!$C$4:$C$1048576,[1]Manpower!$B$4:$B$1048576,"")</f>
        <v>Encogroup</v>
      </c>
      <c r="E379" s="11" t="s">
        <v>59</v>
      </c>
      <c r="F379" s="12">
        <f>_xlfn.XLOOKUP([1]!Table134526_79101120212223242526[[#This Row],[Name Surname]],[1]Manpower!C:C,[1]Manpower!D:D,)</f>
        <v>9138415</v>
      </c>
      <c r="G379" s="13" t="str">
        <f>_xlfn.XLOOKUP([1]!Table134526_79101120212223242526[[#This Row],[Name Surname]],[1]Manpower!$C$4:$C$1048576,[1]Manpower!$F$4:$F$1048576,"")</f>
        <v>HIAB Driver</v>
      </c>
      <c r="H379" s="13" t="str">
        <f>_xlfn.XLOOKUP([1]!Table134526_79101120212223242526[[#This Row],[Name Surname]],[1]Manpower!$C$4:$C$1048576,[1]Manpower!$H$4:$H$1048576,"")</f>
        <v>Manpower</v>
      </c>
      <c r="I379" s="13" t="str">
        <f>_xlfn.XLOOKUP([1]!Table134526_79101120212223242526[[#This Row],[Name Surname]],[1]Manpower!$C$4:$C$1048576,[1]Manpower!$H$4:$H$1048576,"")</f>
        <v>Manpower</v>
      </c>
      <c r="J379" s="13" t="s">
        <v>38</v>
      </c>
      <c r="K379" s="13" t="s">
        <v>7</v>
      </c>
      <c r="L379" s="13" t="s">
        <v>39</v>
      </c>
      <c r="M379" s="13" t="s">
        <v>18</v>
      </c>
      <c r="N379" s="14">
        <v>10</v>
      </c>
      <c r="O379" s="13"/>
      <c r="P379" s="13"/>
      <c r="Q379" s="13"/>
      <c r="R379" s="13" t="s">
        <v>19</v>
      </c>
      <c r="S379" s="15"/>
    </row>
    <row r="380" spans="1:19" x14ac:dyDescent="0.3">
      <c r="A380" s="1" t="e">
        <f>IF(C380="","",MAX($A$2:A379)+1)</f>
        <v>#REF!</v>
      </c>
      <c r="B380" s="2" t="s">
        <v>0</v>
      </c>
      <c r="C380" s="3">
        <v>46097</v>
      </c>
      <c r="D380" s="5" t="str">
        <f>_xlfn.XLOOKUP([1]!Table134526_79101120212223242526[[#This Row],[Name Surname]],[1]Manpower!$C$4:$C$1048576,[1]Manpower!$B$4:$B$1048576,"")</f>
        <v>GAF</v>
      </c>
      <c r="E380" s="5" t="s">
        <v>43</v>
      </c>
      <c r="F380" s="4">
        <f>_xlfn.XLOOKUP([1]!Table134526_79101120212223242526[[#This Row],[Name Surname]],[1]Manpower!C:C,[1]Manpower!D:D,)</f>
        <v>78785394</v>
      </c>
      <c r="G380" s="5" t="str">
        <f>_xlfn.XLOOKUP([1]!Table134526_79101120212223242526[[#This Row],[Name Surname]],[1]Manpower!$C$4:$C$1048576,[1]Manpower!$F$4:$F$1048576,"")</f>
        <v>Helper</v>
      </c>
      <c r="H380" s="5" t="str">
        <f>_xlfn.XLOOKUP([1]!Table134526_79101120212223242526[[#This Row],[Name Surname]],[1]Manpower!$C$4:$C$1048576,[1]Manpower!$H$4:$H$1048576,"")</f>
        <v>Sub Contactor</v>
      </c>
      <c r="I380" s="5" t="str">
        <f>_xlfn.XLOOKUP([1]!Table134526_79101120212223242526[[#This Row],[Name Surname]],[1]Manpower!$C$4:$C$1048576,[1]Manpower!$H$4:$H$1048576,"")</f>
        <v>Sub Contactor</v>
      </c>
      <c r="J380" s="5" t="s">
        <v>2</v>
      </c>
      <c r="K380" s="5" t="s">
        <v>64</v>
      </c>
      <c r="L380" s="5" t="s">
        <v>10</v>
      </c>
      <c r="M380" s="5" t="s">
        <v>18</v>
      </c>
      <c r="N380" s="6">
        <v>10</v>
      </c>
      <c r="O380" s="5"/>
      <c r="P380" s="5"/>
      <c r="Q380" s="5"/>
      <c r="R380" s="5" t="s">
        <v>99</v>
      </c>
      <c r="S380" s="8"/>
    </row>
    <row r="381" spans="1:19" x14ac:dyDescent="0.3">
      <c r="A381" s="9" t="e">
        <f>IF(C381="","",MAX($A$2:A380)+1)</f>
        <v>#REF!</v>
      </c>
      <c r="B381" s="10" t="s">
        <v>0</v>
      </c>
      <c r="C381" s="11">
        <v>46097</v>
      </c>
      <c r="D381" s="13" t="str">
        <f>_xlfn.XLOOKUP([1]!Table134526_79101120212223242526[[#This Row],[Name Surname]],[1]Manpower!$C$4:$C$1048576,[1]Manpower!$B$4:$B$1048576,"")</f>
        <v>Encogroup</v>
      </c>
      <c r="E381" s="11" t="s">
        <v>61</v>
      </c>
      <c r="F381" s="12">
        <f>_xlfn.XLOOKUP([1]!Table134526_79101120212223242526[[#This Row],[Name Surname]],[1]Manpower!C:C,[1]Manpower!D:D,)</f>
        <v>141359024</v>
      </c>
      <c r="G381" s="13" t="str">
        <f>_xlfn.XLOOKUP([1]!Table134526_79101120212223242526[[#This Row],[Name Surname]],[1]Manpower!$C$4:$C$1048576,[1]Manpower!$F$4:$F$1048576,"")</f>
        <v>Hydraulic Mechanic</v>
      </c>
      <c r="H381" s="13" t="str">
        <f>_xlfn.XLOOKUP([1]!Table134526_79101120212223242526[[#This Row],[Name Surname]],[1]Manpower!$C$4:$C$1048576,[1]Manpower!$H$4:$H$1048576,"")</f>
        <v>Manpower</v>
      </c>
      <c r="I381" s="13" t="str">
        <f>_xlfn.XLOOKUP([1]!Table134526_79101120212223242526[[#This Row],[Name Surname]],[1]Manpower!$C$4:$C$1048576,[1]Manpower!$H$4:$H$1048576,"")</f>
        <v>Manpower</v>
      </c>
      <c r="J381" s="13" t="s">
        <v>9</v>
      </c>
      <c r="K381" s="13" t="s">
        <v>7</v>
      </c>
      <c r="L381" s="13" t="s">
        <v>10</v>
      </c>
      <c r="M381" s="13" t="s">
        <v>5</v>
      </c>
      <c r="N381" s="14" t="s">
        <v>100</v>
      </c>
      <c r="O381" s="13" t="s">
        <v>11</v>
      </c>
      <c r="P381" s="13" t="s">
        <v>12</v>
      </c>
      <c r="Q381" s="13" t="s">
        <v>13</v>
      </c>
      <c r="R381" s="13" t="s">
        <v>101</v>
      </c>
      <c r="S381" s="15"/>
    </row>
    <row r="382" spans="1:19" x14ac:dyDescent="0.3">
      <c r="A382" s="1" t="e">
        <f>IF(C382="","",MAX($A$2:A381)+1)</f>
        <v>#REF!</v>
      </c>
      <c r="B382" s="10" t="s">
        <v>0</v>
      </c>
      <c r="C382" s="3">
        <v>46097</v>
      </c>
      <c r="D382" s="5" t="str">
        <f>_xlfn.XLOOKUP([1]!Table134526_79101120212223242526[[#This Row],[Name Surname]],[1]Manpower!$C$4:$C$1048576,[1]Manpower!$B$4:$B$1048576,"")</f>
        <v>Encogroup</v>
      </c>
      <c r="E382" s="5" t="s">
        <v>8</v>
      </c>
      <c r="F382" s="4">
        <f>_xlfn.XLOOKUP([1]!Table134526_79101120212223242526[[#This Row],[Name Surname]],[1]Manpower!C:C,[1]Manpower!D:D,)</f>
        <v>140844759</v>
      </c>
      <c r="G382" s="5" t="str">
        <f>_xlfn.XLOOKUP([1]!Table134526_79101120212223242526[[#This Row],[Name Surname]],[1]Manpower!$C$4:$C$1048576,[1]Manpower!$F$4:$F$1048576,"")</f>
        <v>Welder</v>
      </c>
      <c r="H382" s="5" t="str">
        <f>_xlfn.XLOOKUP([1]!Table134526_79101120212223242526[[#This Row],[Name Surname]],[1]Manpower!$C$4:$C$1048576,[1]Manpower!$H$4:$H$1048576,"")</f>
        <v>Manpower</v>
      </c>
      <c r="I382" s="5" t="str">
        <f>_xlfn.XLOOKUP([1]!Table134526_79101120212223242526[[#This Row],[Name Surname]],[1]Manpower!$C$4:$C$1048576,[1]Manpower!$H$4:$H$1048576,"")</f>
        <v>Manpower</v>
      </c>
      <c r="J382" s="5" t="s">
        <v>9</v>
      </c>
      <c r="K382" s="5" t="s">
        <v>7</v>
      </c>
      <c r="L382" s="5" t="s">
        <v>10</v>
      </c>
      <c r="M382" s="5" t="s">
        <v>5</v>
      </c>
      <c r="N382" s="6">
        <v>10</v>
      </c>
      <c r="O382" s="5" t="s">
        <v>11</v>
      </c>
      <c r="P382" s="5" t="s">
        <v>12</v>
      </c>
      <c r="Q382" s="5" t="s">
        <v>13</v>
      </c>
      <c r="R382" s="5" t="s">
        <v>7</v>
      </c>
      <c r="S382" s="8"/>
    </row>
    <row r="383" spans="1:19" x14ac:dyDescent="0.3">
      <c r="A383" s="9" t="e">
        <f>IF(C383="","",MAX($A$2:A382)+1)</f>
        <v>#REF!</v>
      </c>
      <c r="B383" s="10" t="s">
        <v>0</v>
      </c>
      <c r="C383" s="11">
        <v>46097</v>
      </c>
      <c r="D383" s="13" t="str">
        <f>_xlfn.XLOOKUP([1]!Table134526_79101120212223242526[[#This Row],[Name Surname]],[1]Manpower!$C$4:$C$1048576,[1]Manpower!$B$4:$B$1048576,"")</f>
        <v>Encogroup</v>
      </c>
      <c r="E383" s="13" t="s">
        <v>17</v>
      </c>
      <c r="F383" s="12">
        <f>_xlfn.XLOOKUP([1]!Table134526_79101120212223242526[[#This Row],[Name Surname]],[1]Manpower!C:C,[1]Manpower!D:D,)</f>
        <v>140848828</v>
      </c>
      <c r="G383" s="13" t="str">
        <f>_xlfn.XLOOKUP([1]!Table134526_79101120212223242526[[#This Row],[Name Surname]],[1]Manpower!$C$4:$C$1048576,[1]Manpower!$F$4:$F$1048576,"")</f>
        <v>Pipe Fitter</v>
      </c>
      <c r="H383" s="13" t="str">
        <f>_xlfn.XLOOKUP([1]!Table134526_79101120212223242526[[#This Row],[Name Surname]],[1]Manpower!$C$4:$C$1048576,[1]Manpower!$H$4:$H$1048576,"")</f>
        <v>Manpower</v>
      </c>
      <c r="I383" s="13" t="str">
        <f>_xlfn.XLOOKUP([1]!Table134526_79101120212223242526[[#This Row],[Name Surname]],[1]Manpower!$C$4:$C$1048576,[1]Manpower!$H$4:$H$1048576,"")</f>
        <v>Manpower</v>
      </c>
      <c r="J383" s="13" t="s">
        <v>9</v>
      </c>
      <c r="K383" s="13" t="s">
        <v>7</v>
      </c>
      <c r="L383" s="13" t="s">
        <v>10</v>
      </c>
      <c r="M383" s="13" t="s">
        <v>5</v>
      </c>
      <c r="N383" s="14">
        <v>10</v>
      </c>
      <c r="O383" s="13" t="s">
        <v>6</v>
      </c>
      <c r="P383" s="13" t="s">
        <v>12</v>
      </c>
      <c r="Q383" s="13" t="s">
        <v>29</v>
      </c>
      <c r="R383" s="13" t="s">
        <v>7</v>
      </c>
      <c r="S383" s="15"/>
    </row>
    <row r="384" spans="1:19" x14ac:dyDescent="0.3">
      <c r="A384" s="1" t="e">
        <f>IF(C384="","",MAX($A$2:A383)+1)</f>
        <v>#REF!</v>
      </c>
      <c r="B384" s="10" t="s">
        <v>0</v>
      </c>
      <c r="C384" s="3">
        <v>46097</v>
      </c>
      <c r="D384" s="5" t="str">
        <f>_xlfn.XLOOKUP([1]!Table134526_79101120212223242526[[#This Row],[Name Surname]],[1]Manpower!$C$4:$C$1048576,[1]Manpower!$B$4:$B$1048576,"")</f>
        <v>Encogroup</v>
      </c>
      <c r="E384" s="5" t="s">
        <v>15</v>
      </c>
      <c r="F384" s="4">
        <f>_xlfn.XLOOKUP([1]!Table134526_79101120212223242526[[#This Row],[Name Surname]],[1]Manpower!C:C,[1]Manpower!D:D,)</f>
        <v>140696961</v>
      </c>
      <c r="G384" s="5" t="str">
        <f>_xlfn.XLOOKUP([1]!Table134526_79101120212223242526[[#This Row],[Name Surname]],[1]Manpower!$C$4:$C$1048576,[1]Manpower!$F$4:$F$1048576,"")</f>
        <v>Assistant/Helper</v>
      </c>
      <c r="H384" s="5" t="str">
        <f>_xlfn.XLOOKUP([1]!Table134526_79101120212223242526[[#This Row],[Name Surname]],[1]Manpower!$C$4:$C$1048576,[1]Manpower!$H$4:$H$1048576,"")</f>
        <v>Manpower</v>
      </c>
      <c r="I384" s="5" t="str">
        <f>_xlfn.XLOOKUP([1]!Table134526_79101120212223242526[[#This Row],[Name Surname]],[1]Manpower!$C$4:$C$1048576,[1]Manpower!$H$4:$H$1048576,"")</f>
        <v>Manpower</v>
      </c>
      <c r="J384" s="5" t="s">
        <v>9</v>
      </c>
      <c r="K384" s="5" t="s">
        <v>7</v>
      </c>
      <c r="L384" s="5" t="s">
        <v>10</v>
      </c>
      <c r="M384" s="5" t="s">
        <v>5</v>
      </c>
      <c r="N384" s="6">
        <v>10</v>
      </c>
      <c r="O384" s="5" t="s">
        <v>6</v>
      </c>
      <c r="P384" s="5" t="s">
        <v>12</v>
      </c>
      <c r="Q384" s="5" t="s">
        <v>29</v>
      </c>
      <c r="R384" s="5" t="s">
        <v>7</v>
      </c>
      <c r="S384" s="8"/>
    </row>
    <row r="385" spans="1:19" x14ac:dyDescent="0.3">
      <c r="A385" s="9" t="e">
        <f>IF(C385="","",MAX($A$2:A384)+1)</f>
        <v>#REF!</v>
      </c>
      <c r="B385" s="10" t="s">
        <v>0</v>
      </c>
      <c r="C385" s="11">
        <v>46097</v>
      </c>
      <c r="D385" s="11" t="str">
        <f>_xlfn.XLOOKUP([1]!Table134526_79101120212223242526[[#This Row],[Name Surname]],[1]Manpower!$C$4:$C$1048576,[1]Manpower!$B$4:$B$1048576,"")</f>
        <v>Encogroup</v>
      </c>
      <c r="E385" s="11" t="s">
        <v>20</v>
      </c>
      <c r="F385" s="12">
        <f>_xlfn.XLOOKUP([1]!Table134526_79101120212223242526[[#This Row],[Name Surname]],[1]Manpower!C:C,[1]Manpower!D:D,)</f>
        <v>140623599</v>
      </c>
      <c r="G385" s="11" t="str">
        <f>_xlfn.XLOOKUP([1]!Table134526_79101120212223242526[[#This Row],[Name Surname]],[1]Manpower!$C$4:$C$1048576,[1]Manpower!$F$4:$F$1048576,"")</f>
        <v>Mechanical Supervisor</v>
      </c>
      <c r="H385" s="11" t="str">
        <f>_xlfn.XLOOKUP([1]!Table134526_79101120212223242526[[#This Row],[Name Surname]],[1]Manpower!$C$4:$C$1048576,[1]Manpower!$H$4:$H$1048576,"")</f>
        <v>Manpower</v>
      </c>
      <c r="I385" s="11" t="str">
        <f>_xlfn.XLOOKUP([1]!Table134526_79101120212223242526[[#This Row],[Name Surname]],[1]Manpower!$C$4:$C$1048576,[1]Manpower!$H$4:$H$1048576,"")</f>
        <v>Manpower</v>
      </c>
      <c r="J385" s="13" t="s">
        <v>9</v>
      </c>
      <c r="K385" s="13" t="s">
        <v>7</v>
      </c>
      <c r="L385" s="13" t="s">
        <v>10</v>
      </c>
      <c r="M385" s="13" t="s">
        <v>5</v>
      </c>
      <c r="N385" s="14">
        <v>10</v>
      </c>
      <c r="O385" s="13" t="s">
        <v>6</v>
      </c>
      <c r="P385" s="13" t="s">
        <v>12</v>
      </c>
      <c r="Q385" s="13" t="s">
        <v>12</v>
      </c>
      <c r="R385" s="13" t="s">
        <v>7</v>
      </c>
      <c r="S385" s="15"/>
    </row>
    <row r="386" spans="1:19" x14ac:dyDescent="0.3">
      <c r="A386" s="1" t="e">
        <f>IF(C386="","",MAX($A$2:A385)+1)</f>
        <v>#REF!</v>
      </c>
      <c r="B386" s="16" t="s">
        <v>21</v>
      </c>
      <c r="C386" s="3">
        <v>46097</v>
      </c>
      <c r="D386" s="5" t="str">
        <f>_xlfn.XLOOKUP([1]!Table134526_79101120212223242526[[#This Row],[Name Surname]],[1]Manpower!$C$4:$C$1048576,[1]Manpower!$B$4:$B$1048576,"")</f>
        <v>Encogroup</v>
      </c>
      <c r="E386" s="5" t="s">
        <v>22</v>
      </c>
      <c r="F386" s="4">
        <f>_xlfn.XLOOKUP([1]!Table134526_79101120212223242526[[#This Row],[Name Surname]],[1]Manpower!C:C,[1]Manpower!D:D,)</f>
        <v>140696975</v>
      </c>
      <c r="G386" s="5" t="str">
        <f>_xlfn.XLOOKUP([1]!Table134526_79101120212223242526[[#This Row],[Name Surname]],[1]Manpower!$C$4:$C$1048576,[1]Manpower!$F$4:$F$1048576,"")</f>
        <v>Assistant/Helper</v>
      </c>
      <c r="H386" s="5" t="str">
        <f>_xlfn.XLOOKUP([1]!Table134526_79101120212223242526[[#This Row],[Name Surname]],[1]Manpower!$C$4:$C$1048576,[1]Manpower!$H$4:$H$1048576,"")</f>
        <v>Manpower</v>
      </c>
      <c r="I386" s="5" t="str">
        <f>_xlfn.XLOOKUP([1]!Table134526_79101120212223242526[[#This Row],[Name Surname]],[1]Manpower!$C$4:$C$1048576,[1]Manpower!$H$4:$H$1048576,"")</f>
        <v>Manpower</v>
      </c>
      <c r="J386" s="5" t="s">
        <v>23</v>
      </c>
      <c r="K386" s="5" t="s">
        <v>72</v>
      </c>
      <c r="L386" s="5" t="s">
        <v>25</v>
      </c>
      <c r="M386" s="5" t="s">
        <v>5</v>
      </c>
      <c r="N386" s="6">
        <v>10</v>
      </c>
      <c r="O386" s="5" t="s">
        <v>6</v>
      </c>
      <c r="P386" s="5" t="s">
        <v>12</v>
      </c>
      <c r="Q386" s="5" t="s">
        <v>26</v>
      </c>
      <c r="R386" s="5" t="s">
        <v>95</v>
      </c>
      <c r="S386" s="8"/>
    </row>
    <row r="387" spans="1:19" x14ac:dyDescent="0.3">
      <c r="A387" s="9" t="e">
        <f>IF(C387="","",MAX($A$2:A386)+1)</f>
        <v>#REF!</v>
      </c>
      <c r="B387" s="16" t="s">
        <v>21</v>
      </c>
      <c r="C387" s="11">
        <v>46097</v>
      </c>
      <c r="D387" s="13" t="str">
        <f>_xlfn.XLOOKUP([1]!Table134526_79101120212223242526[[#This Row],[Name Surname]],[1]Manpower!$C$4:$C$1048576,[1]Manpower!$B$4:$B$1048576,"")</f>
        <v>Encogroup</v>
      </c>
      <c r="E387" s="13" t="s">
        <v>28</v>
      </c>
      <c r="F387" s="12">
        <f>_xlfn.XLOOKUP([1]!Table134526_79101120212223242526[[#This Row],[Name Surname]],[1]Manpower!C:C,[1]Manpower!D:D,)</f>
        <v>121937785</v>
      </c>
      <c r="G387" s="13" t="str">
        <f>_xlfn.XLOOKUP([1]!Table134526_79101120212223242526[[#This Row],[Name Surname]],[1]Manpower!$C$4:$C$1048576,[1]Manpower!$F$4:$F$1048576,"")</f>
        <v>Scaffolding Inspector</v>
      </c>
      <c r="H387" s="13" t="str">
        <f>_xlfn.XLOOKUP([1]!Table134526_79101120212223242526[[#This Row],[Name Surname]],[1]Manpower!$C$4:$C$1048576,[1]Manpower!$H$4:$H$1048576,"")</f>
        <v>Manpower</v>
      </c>
      <c r="I387" s="13" t="str">
        <f>_xlfn.XLOOKUP([1]!Table134526_79101120212223242526[[#This Row],[Name Surname]],[1]Manpower!$C$4:$C$1048576,[1]Manpower!$H$4:$H$1048576,"")</f>
        <v>Manpower</v>
      </c>
      <c r="J387" s="13" t="s">
        <v>23</v>
      </c>
      <c r="K387" s="13" t="s">
        <v>72</v>
      </c>
      <c r="L387" s="13" t="s">
        <v>25</v>
      </c>
      <c r="M387" s="13" t="s">
        <v>5</v>
      </c>
      <c r="N387" s="14">
        <v>10</v>
      </c>
      <c r="O387" s="13" t="s">
        <v>6</v>
      </c>
      <c r="P387" s="13" t="s">
        <v>12</v>
      </c>
      <c r="Q387" s="13" t="s">
        <v>26</v>
      </c>
      <c r="R387" s="13" t="s">
        <v>95</v>
      </c>
      <c r="S387" s="15"/>
    </row>
    <row r="388" spans="1:19" x14ac:dyDescent="0.3">
      <c r="A388" s="1" t="e">
        <f>IF(C388="","",MAX($A$2:A387)+1)</f>
        <v>#REF!</v>
      </c>
      <c r="B388" s="16" t="s">
        <v>21</v>
      </c>
      <c r="C388" s="3">
        <v>46097</v>
      </c>
      <c r="D388" s="5" t="str">
        <f>_xlfn.XLOOKUP([1]!Table134526_79101120212223242526[[#This Row],[Name Surname]],[1]Manpower!$C$4:$C$1048576,[1]Manpower!$B$4:$B$1048576,"")</f>
        <v xml:space="preserve">AL Omar International </v>
      </c>
      <c r="E388" s="5" t="s">
        <v>31</v>
      </c>
      <c r="F388" s="4">
        <f>_xlfn.XLOOKUP([1]!Table134526_79101120212223242526[[#This Row],[Name Surname]],[1]Manpower!C:C,[1]Manpower!D:D,)</f>
        <v>85812175</v>
      </c>
      <c r="G388" s="5" t="str">
        <f>_xlfn.XLOOKUP([1]!Table134526_79101120212223242526[[#This Row],[Name Surname]],[1]Manpower!$C$4:$C$1048576,[1]Manpower!$F$4:$F$1048576,"")</f>
        <v>Scaffolding Supervisor</v>
      </c>
      <c r="H388" s="5" t="str">
        <f>_xlfn.XLOOKUP([1]!Table134526_79101120212223242526[[#This Row],[Name Surname]],[1]Manpower!$C$4:$C$1048576,[1]Manpower!$H$4:$H$1048576,"")</f>
        <v>Sub Contactor</v>
      </c>
      <c r="I388" s="5" t="str">
        <f>_xlfn.XLOOKUP([1]!Table134526_79101120212223242526[[#This Row],[Name Surname]],[1]Manpower!$C$4:$C$1048576,[1]Manpower!$H$4:$H$1048576,"")</f>
        <v>Sub Contactor</v>
      </c>
      <c r="J388" s="5" t="s">
        <v>23</v>
      </c>
      <c r="K388" s="5" t="s">
        <v>96</v>
      </c>
      <c r="L388" s="5" t="s">
        <v>25</v>
      </c>
      <c r="M388" s="5" t="s">
        <v>5</v>
      </c>
      <c r="N388" s="6">
        <v>10</v>
      </c>
      <c r="O388" s="5" t="s">
        <v>11</v>
      </c>
      <c r="P388" s="5" t="s">
        <v>12</v>
      </c>
      <c r="Q388" s="5" t="s">
        <v>13</v>
      </c>
      <c r="R388" s="5" t="s">
        <v>97</v>
      </c>
      <c r="S388" s="8"/>
    </row>
    <row r="389" spans="1:19" x14ac:dyDescent="0.3">
      <c r="A389" s="9" t="e">
        <f>IF(C389="","",MAX($A$2:A388)+1)</f>
        <v>#REF!</v>
      </c>
      <c r="B389" s="16" t="s">
        <v>21</v>
      </c>
      <c r="C389" s="11">
        <v>46097</v>
      </c>
      <c r="D389" s="13" t="str">
        <f>_xlfn.XLOOKUP([1]!Table134526_79101120212223242526[[#This Row],[Name Surname]],[1]Manpower!$C$4:$C$1048576,[1]Manpower!$B$4:$B$1048576,"")</f>
        <v>AL Omar International TRAD AND CONT</v>
      </c>
      <c r="E389" s="11" t="s">
        <v>32</v>
      </c>
      <c r="F389" s="12">
        <f>_xlfn.XLOOKUP([1]!Table134526_79101120212223242526[[#This Row],[Name Surname]],[1]Manpower!C:C,[1]Manpower!D:D,)</f>
        <v>95335424</v>
      </c>
      <c r="G389" s="13" t="str">
        <f>_xlfn.XLOOKUP([1]!Table134526_79101120212223242526[[#This Row],[Name Surname]],[1]Manpower!$C$4:$C$1048576,[1]Manpower!$F$4:$F$1048576,"")</f>
        <v>Scaffolder</v>
      </c>
      <c r="H389" s="13" t="str">
        <f>_xlfn.XLOOKUP([1]!Table134526_79101120212223242526[[#This Row],[Name Surname]],[1]Manpower!$C$4:$C$1048576,[1]Manpower!$H$4:$H$1048576,"")</f>
        <v>Sub Contactor</v>
      </c>
      <c r="I389" s="13" t="str">
        <f>_xlfn.XLOOKUP([1]!Table134526_79101120212223242526[[#This Row],[Name Surname]],[1]Manpower!$C$4:$C$1048576,[1]Manpower!$H$4:$H$1048576,"")</f>
        <v>Sub Contactor</v>
      </c>
      <c r="J389" s="13" t="s">
        <v>23</v>
      </c>
      <c r="K389" s="13" t="s">
        <v>96</v>
      </c>
      <c r="L389" s="13" t="s">
        <v>25</v>
      </c>
      <c r="M389" s="13" t="s">
        <v>5</v>
      </c>
      <c r="N389" s="14">
        <v>10</v>
      </c>
      <c r="O389" s="13" t="s">
        <v>33</v>
      </c>
      <c r="P389" s="13" t="s">
        <v>33</v>
      </c>
      <c r="Q389" s="13" t="s">
        <v>33</v>
      </c>
      <c r="R389" s="13" t="s">
        <v>7</v>
      </c>
      <c r="S389" s="15"/>
    </row>
    <row r="390" spans="1:19" x14ac:dyDescent="0.3">
      <c r="A390" s="1" t="e">
        <f>IF(C390="","",MAX($A$2:A388)+1)</f>
        <v>#REF!</v>
      </c>
      <c r="B390" s="16" t="s">
        <v>21</v>
      </c>
      <c r="C390" s="3">
        <v>46097</v>
      </c>
      <c r="D390" s="5" t="str">
        <f>_xlfn.XLOOKUP([1]!Table134526_79101120212223242526[[#This Row],[Name Surname]],[1]Manpower!$C$4:$C$1048576,[1]Manpower!$B$4:$B$1048576,"")</f>
        <v>AL Omar International TRAD AND CONT</v>
      </c>
      <c r="E390" s="3" t="s">
        <v>34</v>
      </c>
      <c r="F390" s="4">
        <f>_xlfn.XLOOKUP([1]!Table134526_79101120212223242526[[#This Row],[Name Surname]],[1]Manpower!C:C,[1]Manpower!D:D,)</f>
        <v>96409155</v>
      </c>
      <c r="G390" s="5" t="str">
        <f>_xlfn.XLOOKUP([1]!Table134526_79101120212223242526[[#This Row],[Name Surname]],[1]Manpower!$C$4:$C$1048576,[1]Manpower!$F$4:$F$1048576,"")</f>
        <v>Scaffolder</v>
      </c>
      <c r="H390" s="5" t="str">
        <f>_xlfn.XLOOKUP([1]!Table134526_79101120212223242526[[#This Row],[Name Surname]],[1]Manpower!$C$4:$C$1048576,[1]Manpower!$H$4:$H$1048576,"")</f>
        <v>Sub Contactor</v>
      </c>
      <c r="I390" s="5" t="str">
        <f>_xlfn.XLOOKUP([1]!Table134526_79101120212223242526[[#This Row],[Name Surname]],[1]Manpower!$C$4:$C$1048576,[1]Manpower!$H$4:$H$1048576,"")</f>
        <v>Sub Contactor</v>
      </c>
      <c r="J390" s="5" t="s">
        <v>23</v>
      </c>
      <c r="K390" s="5" t="s">
        <v>96</v>
      </c>
      <c r="L390" s="5" t="s">
        <v>25</v>
      </c>
      <c r="M390" s="5" t="s">
        <v>5</v>
      </c>
      <c r="N390" s="6">
        <v>10</v>
      </c>
      <c r="O390" s="5" t="s">
        <v>35</v>
      </c>
      <c r="P390" s="5" t="s">
        <v>35</v>
      </c>
      <c r="Q390" s="5" t="s">
        <v>35</v>
      </c>
      <c r="R390" s="5" t="s">
        <v>7</v>
      </c>
      <c r="S390" s="8"/>
    </row>
    <row r="391" spans="1:19" x14ac:dyDescent="0.3">
      <c r="A391" s="9" t="e">
        <f>IF(C391="","",MAX($A$2:A390)+1)</f>
        <v>#REF!</v>
      </c>
      <c r="B391" s="17" t="s">
        <v>36</v>
      </c>
      <c r="C391" s="11">
        <v>46097</v>
      </c>
      <c r="D391" s="13" t="str">
        <f>_xlfn.XLOOKUP([1]!Table134526_79101120212223242526[[#This Row],[Name Surname]],[1]Manpower!$C$4:$C$1048576,[1]Manpower!$B$4:$B$1048576,"")</f>
        <v>AL Omar International TRAD AND CONT</v>
      </c>
      <c r="E391" s="13" t="s">
        <v>37</v>
      </c>
      <c r="F391" s="12">
        <f>_xlfn.XLOOKUP([1]!Table134526_79101120212223242526[[#This Row],[Name Surname]],[1]Manpower!C:C,[1]Manpower!D:D,)</f>
        <v>105813698</v>
      </c>
      <c r="G391" s="13" t="str">
        <f>_xlfn.XLOOKUP([1]!Table134526_79101120212223242526[[#This Row],[Name Surname]],[1]Manpower!$C$4:$C$1048576,[1]Manpower!$F$4:$F$1048576,"")</f>
        <v>Scaffolding Inspector</v>
      </c>
      <c r="H391" s="13" t="str">
        <f>_xlfn.XLOOKUP([1]!Table134526_79101120212223242526[[#This Row],[Name Surname]],[1]Manpower!$C$4:$C$1048576,[1]Manpower!$H$4:$H$1048576,"")</f>
        <v>Sub Contactor</v>
      </c>
      <c r="I391" s="13" t="str">
        <f>_xlfn.XLOOKUP([1]!Table134526_79101120212223242526[[#This Row],[Name Surname]],[1]Manpower!$C$4:$C$1048576,[1]Manpower!$H$4:$H$1048576,"")</f>
        <v>Sub Contactor</v>
      </c>
      <c r="J391" s="13" t="s">
        <v>38</v>
      </c>
      <c r="K391" s="13" t="s">
        <v>7</v>
      </c>
      <c r="L391" s="13" t="s">
        <v>39</v>
      </c>
      <c r="M391" s="13" t="s">
        <v>5</v>
      </c>
      <c r="N391" s="14">
        <v>10</v>
      </c>
      <c r="O391" s="13" t="s">
        <v>33</v>
      </c>
      <c r="P391" s="13" t="s">
        <v>33</v>
      </c>
      <c r="Q391" s="13" t="s">
        <v>33</v>
      </c>
      <c r="R391" s="13" t="s">
        <v>7</v>
      </c>
      <c r="S391" s="15"/>
    </row>
    <row r="392" spans="1:19" x14ac:dyDescent="0.3">
      <c r="A392" s="1" t="e">
        <f>IF(C392="","",MAX($A$2:A391)+1)</f>
        <v>#REF!</v>
      </c>
      <c r="B392" s="17" t="s">
        <v>36</v>
      </c>
      <c r="C392" s="3">
        <v>46097</v>
      </c>
      <c r="D392" s="5" t="str">
        <f>_xlfn.XLOOKUP([1]!Table134526_79101120212223242526[[#This Row],[Name Surname]],[1]Manpower!$C$4:$C$1048576,[1]Manpower!$B$4:$B$1048576,"")</f>
        <v>AL Saif &amp; Al QALLM ENT LLC</v>
      </c>
      <c r="E392" s="5" t="s">
        <v>40</v>
      </c>
      <c r="F392" s="4">
        <f>_xlfn.XLOOKUP([1]!Table134526_79101120212223242526[[#This Row],[Name Surname]],[1]Manpower!C:C,[1]Manpower!D:D,)</f>
        <v>135340657</v>
      </c>
      <c r="G392" s="5" t="str">
        <f>_xlfn.XLOOKUP([1]!Table134526_79101120212223242526[[#This Row],[Name Surname]],[1]Manpower!$C$4:$C$1048576,[1]Manpower!$F$4:$F$1048576,"")</f>
        <v>Forklift Operator</v>
      </c>
      <c r="H392" s="5" t="str">
        <f>_xlfn.XLOOKUP([1]!Table134526_79101120212223242526[[#This Row],[Name Surname]],[1]Manpower!$C$4:$C$1048576,[1]Manpower!$H$4:$H$1048576,"")</f>
        <v>Sub Contactor</v>
      </c>
      <c r="I392" s="5" t="str">
        <f>_xlfn.XLOOKUP([1]!Table134526_79101120212223242526[[#This Row],[Name Surname]],[1]Manpower!$C$4:$C$1048576,[1]Manpower!$H$4:$H$1048576,"")</f>
        <v>Sub Contactor</v>
      </c>
      <c r="J392" s="5" t="s">
        <v>38</v>
      </c>
      <c r="K392" s="5" t="s">
        <v>7</v>
      </c>
      <c r="L392" s="5" t="s">
        <v>39</v>
      </c>
      <c r="M392" s="5" t="s">
        <v>5</v>
      </c>
      <c r="N392" s="6">
        <v>10</v>
      </c>
      <c r="O392" s="5" t="s">
        <v>33</v>
      </c>
      <c r="P392" s="5" t="s">
        <v>33</v>
      </c>
      <c r="Q392" s="5" t="s">
        <v>33</v>
      </c>
      <c r="R392" s="5" t="s">
        <v>7</v>
      </c>
      <c r="S392" s="8"/>
    </row>
    <row r="393" spans="1:19" x14ac:dyDescent="0.3">
      <c r="A393" s="9" t="e">
        <f>IF(C393="","",MAX($A$2:A391)+1)</f>
        <v>#REF!</v>
      </c>
      <c r="B393" s="17" t="s">
        <v>36</v>
      </c>
      <c r="C393" s="11">
        <v>46097</v>
      </c>
      <c r="D393" s="13" t="str">
        <f>_xlfn.XLOOKUP([1]!Table134526_79101120212223242526[[#This Row],[Name Surname]],[1]Manpower!$C$4:$C$1048576,[1]Manpower!$B$4:$B$1048576,"")</f>
        <v>Encogroup</v>
      </c>
      <c r="E393" s="13" t="s">
        <v>41</v>
      </c>
      <c r="F393" s="12">
        <f>_xlfn.XLOOKUP([1]!Table134526_79101120212223242526[[#This Row],[Name Surname]],[1]Manpower!C:C,[1]Manpower!D:D,)</f>
        <v>140844586</v>
      </c>
      <c r="G393" s="13" t="str">
        <f>_xlfn.XLOOKUP([1]!Table134526_79101120212223242526[[#This Row],[Name Surname]],[1]Manpower!$C$4:$C$1048576,[1]Manpower!$F$4:$F$1048576,"")</f>
        <v>Assistant/Helper</v>
      </c>
      <c r="H393" s="13" t="str">
        <f>_xlfn.XLOOKUP([1]!Table134526_79101120212223242526[[#This Row],[Name Surname]],[1]Manpower!$C$4:$C$1048576,[1]Manpower!$H$4:$H$1048576,"")</f>
        <v>Manpower</v>
      </c>
      <c r="I393" s="13" t="str">
        <f>_xlfn.XLOOKUP([1]!Table134526_79101120212223242526[[#This Row],[Name Surname]],[1]Manpower!$C$4:$C$1048576,[1]Manpower!$H$4:$H$1048576,"")</f>
        <v>Manpower</v>
      </c>
      <c r="J393" s="13" t="s">
        <v>38</v>
      </c>
      <c r="K393" s="13" t="s">
        <v>7</v>
      </c>
      <c r="L393" s="13" t="s">
        <v>39</v>
      </c>
      <c r="M393" s="13" t="s">
        <v>18</v>
      </c>
      <c r="N393" s="14">
        <v>10</v>
      </c>
      <c r="O393" s="13"/>
      <c r="P393" s="13"/>
      <c r="Q393" s="13"/>
      <c r="R393" s="13" t="s">
        <v>75</v>
      </c>
      <c r="S393" s="15"/>
    </row>
    <row r="394" spans="1:19" x14ac:dyDescent="0.3">
      <c r="A394" s="1" t="e">
        <f>IF(C394="","",MAX($A$2:A393)+1)</f>
        <v>#REF!</v>
      </c>
      <c r="B394" s="17" t="s">
        <v>36</v>
      </c>
      <c r="C394" s="3">
        <v>46097</v>
      </c>
      <c r="D394" s="5" t="str">
        <f>_xlfn.XLOOKUP([1]!Table134526_79101120212223242526[[#This Row],[Name Surname]],[1]Manpower!$C$4:$C$1048576,[1]Manpower!$B$4:$B$1048576,"")</f>
        <v>AL Omar International TRAD AND CONT</v>
      </c>
      <c r="E394" s="5" t="s">
        <v>1</v>
      </c>
      <c r="F394" s="4">
        <f>_xlfn.XLOOKUP([1]!Table134526_79101120212223242526[[#This Row],[Name Surname]],[1]Manpower!C:C,[1]Manpower!D:D,)</f>
        <v>106093463</v>
      </c>
      <c r="G394" s="5" t="str">
        <f>_xlfn.XLOOKUP([1]!Table134526_79101120212223242526[[#This Row],[Name Surname]],[1]Manpower!$C$4:$C$1048576,[1]Manpower!$F$4:$F$1048576,"")</f>
        <v>RIgger</v>
      </c>
      <c r="H394" s="5" t="str">
        <f>_xlfn.XLOOKUP([1]!Table134526_79101120212223242526[[#This Row],[Name Surname]],[1]Manpower!$C$4:$C$1048576,[1]Manpower!$H$4:$H$1048576,"")</f>
        <v>Sub Contactor</v>
      </c>
      <c r="I394" s="5" t="str">
        <f>_xlfn.XLOOKUP([1]!Table134526_79101120212223242526[[#This Row],[Name Surname]],[1]Manpower!$C$4:$C$1048576,[1]Manpower!$H$4:$H$1048576,"")</f>
        <v>Sub Contactor</v>
      </c>
      <c r="J394" s="5" t="s">
        <v>38</v>
      </c>
      <c r="K394" s="5" t="s">
        <v>7</v>
      </c>
      <c r="L394" s="5" t="s">
        <v>39</v>
      </c>
      <c r="M394" s="5" t="s">
        <v>5</v>
      </c>
      <c r="N394" s="6">
        <v>8</v>
      </c>
      <c r="O394" s="5" t="s">
        <v>11</v>
      </c>
      <c r="P394" s="5" t="s">
        <v>12</v>
      </c>
      <c r="Q394" s="5" t="s">
        <v>13</v>
      </c>
      <c r="R394" s="5" t="s">
        <v>102</v>
      </c>
      <c r="S394" s="8"/>
    </row>
    <row r="395" spans="1:19" x14ac:dyDescent="0.3">
      <c r="A395" s="9" t="e">
        <f>IF(C395="","",MAX($A$2:A394)+1)</f>
        <v>#REF!</v>
      </c>
      <c r="B395" s="17" t="s">
        <v>36</v>
      </c>
      <c r="C395" s="11">
        <v>46097</v>
      </c>
      <c r="D395" s="13" t="str">
        <f>_xlfn.XLOOKUP([1]!Table134526_79101120212223242526[[#This Row],[Name Surname]],[1]Manpower!$C$4:$C$1048576,[1]Manpower!$B$4:$B$1048576,"")</f>
        <v>Al Asrah Al Mumayaza Trad</v>
      </c>
      <c r="E395" s="13" t="s">
        <v>45</v>
      </c>
      <c r="F395" s="12" t="e">
        <f>_xlfn.XLOOKUP([1]!Table134526_79101120212223242526[[#This Row],[Name Surname]],[1]Manpower!C:C,[1]Manpower!D:D,)</f>
        <v>#N/A</v>
      </c>
      <c r="G395" s="13" t="str">
        <f>_xlfn.XLOOKUP([1]!Table134526_79101120212223242526[[#This Row],[Name Surname]],[1]Manpower!$C$4:$C$1048576,[1]Manpower!$F$4:$F$1048576,"")</f>
        <v>PICK-UP</v>
      </c>
      <c r="H395" s="13" t="str">
        <f>_xlfn.XLOOKUP([1]!Table134526_79101120212223242526[[#This Row],[Name Surname]],[1]Manpower!$C$4:$C$1048576,[1]Manpower!$H$4:$H$1048576,"")</f>
        <v>Equipment</v>
      </c>
      <c r="I395" s="13" t="str">
        <f>_xlfn.XLOOKUP([1]!Table134526_79101120212223242526[[#This Row],[Name Surname]],[1]Manpower!$C$4:$C$1048576,[1]Manpower!$H$4:$H$1048576,"")</f>
        <v>Equipment</v>
      </c>
      <c r="J395" s="13" t="s">
        <v>38</v>
      </c>
      <c r="K395" s="13" t="s">
        <v>7</v>
      </c>
      <c r="L395" s="13" t="s">
        <v>39</v>
      </c>
      <c r="M395" s="13" t="s">
        <v>5</v>
      </c>
      <c r="N395" s="14">
        <v>10</v>
      </c>
      <c r="O395" s="13" t="s">
        <v>11</v>
      </c>
      <c r="P395" s="13" t="s">
        <v>13</v>
      </c>
      <c r="Q395" s="13" t="s">
        <v>12</v>
      </c>
      <c r="R395" s="13" t="s">
        <v>79</v>
      </c>
      <c r="S395" s="15"/>
    </row>
    <row r="396" spans="1:19" x14ac:dyDescent="0.3">
      <c r="A396" s="1" t="e">
        <f>IF(C396="","",MAX($A$2:A395)+1)</f>
        <v>#REF!</v>
      </c>
      <c r="B396" s="17" t="s">
        <v>36</v>
      </c>
      <c r="C396" s="3">
        <v>46097</v>
      </c>
      <c r="D396" s="5" t="str">
        <f>_xlfn.XLOOKUP([1]!Table134526_79101120212223242526[[#This Row],[Name Surname]],[1]Manpower!$C$4:$C$1048576,[1]Manpower!$B$4:$B$1048576,"")</f>
        <v>Al Asrah Al Mumayaza Trad</v>
      </c>
      <c r="E396" s="5" t="s">
        <v>46</v>
      </c>
      <c r="F396" s="4" t="e">
        <f>_xlfn.XLOOKUP([1]!Table134526_79101120212223242526[[#This Row],[Name Surname]],[1]Manpower!C:C,[1]Manpower!D:D,)</f>
        <v>#N/A</v>
      </c>
      <c r="G396" s="5" t="str">
        <f>_xlfn.XLOOKUP([1]!Table134526_79101120212223242526[[#This Row],[Name Surname]],[1]Manpower!$C$4:$C$1048576,[1]Manpower!$F$4:$F$1048576,"")</f>
        <v>PICK-UP</v>
      </c>
      <c r="H396" s="5" t="str">
        <f>_xlfn.XLOOKUP([1]!Table134526_79101120212223242526[[#This Row],[Name Surname]],[1]Manpower!$C$4:$C$1048576,[1]Manpower!$H$4:$H$1048576,"")</f>
        <v>Equipment</v>
      </c>
      <c r="I396" s="5" t="str">
        <f>_xlfn.XLOOKUP([1]!Table134526_79101120212223242526[[#This Row],[Name Surname]],[1]Manpower!$C$4:$C$1048576,[1]Manpower!$H$4:$H$1048576,"")</f>
        <v>Equipment</v>
      </c>
      <c r="J396" s="5" t="s">
        <v>38</v>
      </c>
      <c r="K396" s="5" t="s">
        <v>7</v>
      </c>
      <c r="L396" s="5" t="s">
        <v>39</v>
      </c>
      <c r="M396" s="5" t="s">
        <v>18</v>
      </c>
      <c r="N396" s="6">
        <v>10</v>
      </c>
      <c r="O396" s="5"/>
      <c r="P396" s="5"/>
      <c r="Q396" s="5"/>
      <c r="R396" s="5" t="s">
        <v>68</v>
      </c>
      <c r="S396" s="8"/>
    </row>
    <row r="397" spans="1:19" x14ac:dyDescent="0.3">
      <c r="A397" s="9" t="e">
        <f>IF(C397="","",MAX($A$2:A396)+1)</f>
        <v>#REF!</v>
      </c>
      <c r="B397" s="17" t="s">
        <v>36</v>
      </c>
      <c r="C397" s="11">
        <v>46097</v>
      </c>
      <c r="D397" s="13" t="str">
        <f>_xlfn.XLOOKUP([1]!Table134526_79101120212223242526[[#This Row],[Name Surname]],[1]Manpower!$C$4:$C$1048576,[1]Manpower!$B$4:$B$1048576,"")</f>
        <v>Al Asrah Al Mumayaza Trad</v>
      </c>
      <c r="E397" s="13" t="s">
        <v>48</v>
      </c>
      <c r="F397" s="12" t="e">
        <f>_xlfn.XLOOKUP([1]!Table134526_79101120212223242526[[#This Row],[Name Surname]],[1]Manpower!C:C,[1]Manpower!D:D,)</f>
        <v>#N/A</v>
      </c>
      <c r="G397" s="13" t="str">
        <f>_xlfn.XLOOKUP([1]!Table134526_79101120212223242526[[#This Row],[Name Surname]],[1]Manpower!$C$4:$C$1048576,[1]Manpower!$F$4:$F$1048576,"")</f>
        <v>PICK-UP</v>
      </c>
      <c r="H397" s="13" t="str">
        <f>_xlfn.XLOOKUP([1]!Table134526_79101120212223242526[[#This Row],[Name Surname]],[1]Manpower!$C$4:$C$1048576,[1]Manpower!$H$4:$H$1048576,"")</f>
        <v>Equipment</v>
      </c>
      <c r="I397" s="13" t="str">
        <f>_xlfn.XLOOKUP([1]!Table134526_79101120212223242526[[#This Row],[Name Surname]],[1]Manpower!$C$4:$C$1048576,[1]Manpower!$H$4:$H$1048576,"")</f>
        <v>Equipment</v>
      </c>
      <c r="J397" s="13" t="s">
        <v>38</v>
      </c>
      <c r="K397" s="13" t="s">
        <v>7</v>
      </c>
      <c r="L397" s="13" t="s">
        <v>39</v>
      </c>
      <c r="M397" s="13" t="s">
        <v>5</v>
      </c>
      <c r="N397" s="14">
        <v>10</v>
      </c>
      <c r="O397" s="13" t="s">
        <v>33</v>
      </c>
      <c r="P397" s="13" t="s">
        <v>33</v>
      </c>
      <c r="Q397" s="13" t="s">
        <v>33</v>
      </c>
      <c r="R397" s="13" t="s">
        <v>7</v>
      </c>
      <c r="S397" s="15"/>
    </row>
    <row r="398" spans="1:19" x14ac:dyDescent="0.3">
      <c r="A398" s="1" t="e">
        <f>IF(C398="","",MAX($A$2:A397)+1)</f>
        <v>#REF!</v>
      </c>
      <c r="B398" s="17" t="s">
        <v>36</v>
      </c>
      <c r="C398" s="3">
        <v>46097</v>
      </c>
      <c r="D398" s="5" t="str">
        <f>_xlfn.XLOOKUP([1]!Table134526_79101120212223242526[[#This Row],[Name Surname]],[1]Manpower!$C$4:$C$1048576,[1]Manpower!$B$4:$B$1048576,"")</f>
        <v>Al Asrah Al Mumayaza Trad</v>
      </c>
      <c r="E398" s="5" t="s">
        <v>49</v>
      </c>
      <c r="F398" s="4" t="e">
        <f>_xlfn.XLOOKUP([1]!Table134526_79101120212223242526[[#This Row],[Name Surname]],[1]Manpower!C:C,[1]Manpower!D:D,)</f>
        <v>#N/A</v>
      </c>
      <c r="G398" s="5" t="str">
        <f>_xlfn.XLOOKUP([1]!Table134526_79101120212223242526[[#This Row],[Name Surname]],[1]Manpower!$C$4:$C$1048576,[1]Manpower!$F$4:$F$1048576,"")</f>
        <v>PICK-UP</v>
      </c>
      <c r="H398" s="5" t="str">
        <f>_xlfn.XLOOKUP([1]!Table134526_79101120212223242526[[#This Row],[Name Surname]],[1]Manpower!$C$4:$C$1048576,[1]Manpower!$H$4:$H$1048576,"")</f>
        <v>Equipment</v>
      </c>
      <c r="I398" s="5" t="str">
        <f>_xlfn.XLOOKUP([1]!Table134526_79101120212223242526[[#This Row],[Name Surname]],[1]Manpower!$C$4:$C$1048576,[1]Manpower!$H$4:$H$1048576,"")</f>
        <v>Equipment</v>
      </c>
      <c r="J398" s="5" t="s">
        <v>38</v>
      </c>
      <c r="K398" s="5" t="s">
        <v>7</v>
      </c>
      <c r="L398" s="5" t="s">
        <v>39</v>
      </c>
      <c r="M398" s="5" t="s">
        <v>5</v>
      </c>
      <c r="N398" s="6">
        <v>10</v>
      </c>
      <c r="O398" s="5" t="s">
        <v>33</v>
      </c>
      <c r="P398" s="5" t="s">
        <v>33</v>
      </c>
      <c r="Q398" s="5" t="s">
        <v>33</v>
      </c>
      <c r="R398" s="5" t="s">
        <v>7</v>
      </c>
      <c r="S398" s="8"/>
    </row>
    <row r="399" spans="1:19" x14ac:dyDescent="0.3">
      <c r="A399" s="9" t="e">
        <f>IF(C399="","",MAX($A$2:A398)+1)</f>
        <v>#REF!</v>
      </c>
      <c r="B399" s="17" t="s">
        <v>36</v>
      </c>
      <c r="C399" s="11">
        <v>46097</v>
      </c>
      <c r="D399" s="13" t="str">
        <f>_xlfn.XLOOKUP([1]!Table134526_79101120212223242526[[#This Row],[Name Surname]],[1]Manpower!$C$4:$C$1048576,[1]Manpower!$B$4:$B$1048576,"")</f>
        <v>Encogroup</v>
      </c>
      <c r="E399" s="13" t="s">
        <v>50</v>
      </c>
      <c r="F399" s="12">
        <f>_xlfn.XLOOKUP([1]!Table134526_79101120212223242526[[#This Row],[Name Surname]],[1]Manpower!C:C,[1]Manpower!D:D,)</f>
        <v>140805592</v>
      </c>
      <c r="G399" s="13" t="str">
        <f>_xlfn.XLOOKUP([1]!Table134526_79101120212223242526[[#This Row],[Name Surname]],[1]Manpower!$C$4:$C$1048576,[1]Manpower!$F$4:$F$1048576,"")</f>
        <v>Assistant/Helper</v>
      </c>
      <c r="H399" s="13" t="str">
        <f>_xlfn.XLOOKUP([1]!Table134526_79101120212223242526[[#This Row],[Name Surname]],[1]Manpower!$C$4:$C$1048576,[1]Manpower!$H$4:$H$1048576,"")</f>
        <v>Manpower</v>
      </c>
      <c r="I399" s="13" t="str">
        <f>_xlfn.XLOOKUP([1]!Table134526_79101120212223242526[[#This Row],[Name Surname]],[1]Manpower!$C$4:$C$1048576,[1]Manpower!$H$4:$H$1048576,"")</f>
        <v>Manpower</v>
      </c>
      <c r="J399" s="13" t="s">
        <v>38</v>
      </c>
      <c r="K399" s="13" t="s">
        <v>7</v>
      </c>
      <c r="L399" s="13" t="s">
        <v>39</v>
      </c>
      <c r="M399" s="13" t="s">
        <v>5</v>
      </c>
      <c r="N399" s="14">
        <v>10</v>
      </c>
      <c r="O399" s="13"/>
      <c r="P399" s="13"/>
      <c r="Q399" s="13"/>
      <c r="R399" s="13" t="s">
        <v>7</v>
      </c>
      <c r="S399" s="15"/>
    </row>
    <row r="400" spans="1:19" x14ac:dyDescent="0.3">
      <c r="A400" s="1" t="e">
        <f>IF(C400="","",MAX($A$2:A399)+1)</f>
        <v>#REF!</v>
      </c>
      <c r="B400" s="17" t="s">
        <v>36</v>
      </c>
      <c r="C400" s="3">
        <v>46097</v>
      </c>
      <c r="D400" s="5" t="str">
        <f>_xlfn.XLOOKUP([1]!Table134526_79101120212223242526[[#This Row],[Name Surname]],[1]Manpower!$C$4:$C$1048576,[1]Manpower!$B$4:$B$1048576,"")</f>
        <v>Encogroup</v>
      </c>
      <c r="E400" s="3" t="s">
        <v>51</v>
      </c>
      <c r="F400" s="4">
        <f>_xlfn.XLOOKUP([1]!Table134526_79101120212223242526[[#This Row],[Name Surname]],[1]Manpower!C:C,[1]Manpower!D:D,)</f>
        <v>140683371</v>
      </c>
      <c r="G400" s="5" t="str">
        <f>_xlfn.XLOOKUP([1]!Table134526_79101120212223242526[[#This Row],[Name Surname]],[1]Manpower!$C$4:$C$1048576,[1]Manpower!$F$4:$F$1048576,"")</f>
        <v>Rigger</v>
      </c>
      <c r="H400" s="5" t="str">
        <f>_xlfn.XLOOKUP([1]!Table134526_79101120212223242526[[#This Row],[Name Surname]],[1]Manpower!$C$4:$C$1048576,[1]Manpower!$H$4:$H$1048576,"")</f>
        <v>Manpower</v>
      </c>
      <c r="I400" s="5" t="str">
        <f>_xlfn.XLOOKUP([1]!Table134526_79101120212223242526[[#This Row],[Name Surname]],[1]Manpower!$C$4:$C$1048576,[1]Manpower!$H$4:$H$1048576,"")</f>
        <v>Manpower</v>
      </c>
      <c r="J400" s="5" t="s">
        <v>38</v>
      </c>
      <c r="K400" s="5" t="s">
        <v>7</v>
      </c>
      <c r="L400" s="5" t="s">
        <v>39</v>
      </c>
      <c r="M400" s="5" t="s">
        <v>18</v>
      </c>
      <c r="N400" s="6">
        <v>10</v>
      </c>
      <c r="O400" s="5"/>
      <c r="P400" s="5"/>
      <c r="Q400" s="5"/>
      <c r="R400" s="5" t="s">
        <v>19</v>
      </c>
      <c r="S400" s="8"/>
    </row>
    <row r="401" spans="1:19" x14ac:dyDescent="0.3">
      <c r="A401" s="9" t="e">
        <f>IF(C401="","",MAX($A$2:A400)+1)</f>
        <v>#REF!</v>
      </c>
      <c r="B401" s="17" t="s">
        <v>36</v>
      </c>
      <c r="C401" s="11">
        <v>46097</v>
      </c>
      <c r="D401" s="13" t="str">
        <f>_xlfn.XLOOKUP([1]!Table134526_79101120212223242526[[#This Row],[Name Surname]],[1]Manpower!$C$4:$C$1048576,[1]Manpower!$B$4:$B$1048576,"")</f>
        <v>Encogroup</v>
      </c>
      <c r="E401" s="11" t="s">
        <v>52</v>
      </c>
      <c r="F401" s="12">
        <f>_xlfn.XLOOKUP([1]!Table134526_79101120212223242526[[#This Row],[Name Surname]],[1]Manpower!C:C,[1]Manpower!D:D,)</f>
        <v>140844572</v>
      </c>
      <c r="G401" s="13" t="str">
        <f>_xlfn.XLOOKUP([1]!Table134526_79101120212223242526[[#This Row],[Name Surname]],[1]Manpower!$C$4:$C$1048576,[1]Manpower!$F$4:$F$1048576,"")</f>
        <v>Assistant/Helper</v>
      </c>
      <c r="H401" s="13" t="str">
        <f>_xlfn.XLOOKUP([1]!Table134526_79101120212223242526[[#This Row],[Name Surname]],[1]Manpower!$C$4:$C$1048576,[1]Manpower!$H$4:$H$1048576,"")</f>
        <v>Manpower</v>
      </c>
      <c r="I401" s="13" t="str">
        <f>_xlfn.XLOOKUP([1]!Table134526_79101120212223242526[[#This Row],[Name Surname]],[1]Manpower!$C$4:$C$1048576,[1]Manpower!$H$4:$H$1048576,"")</f>
        <v>Manpower</v>
      </c>
      <c r="J401" s="13" t="s">
        <v>38</v>
      </c>
      <c r="K401" s="13" t="s">
        <v>7</v>
      </c>
      <c r="L401" s="13" t="s">
        <v>39</v>
      </c>
      <c r="M401" s="13" t="s">
        <v>5</v>
      </c>
      <c r="N401" s="14">
        <v>10</v>
      </c>
      <c r="O401" s="13" t="s">
        <v>33</v>
      </c>
      <c r="P401" s="13" t="s">
        <v>33</v>
      </c>
      <c r="Q401" s="13" t="s">
        <v>33</v>
      </c>
      <c r="R401" s="13" t="s">
        <v>7</v>
      </c>
      <c r="S401" s="15"/>
    </row>
    <row r="402" spans="1:19" x14ac:dyDescent="0.3">
      <c r="A402" s="1" t="e">
        <f>IF(C402="","",MAX($A$2:A401)+1)</f>
        <v>#REF!</v>
      </c>
      <c r="B402" s="17" t="s">
        <v>36</v>
      </c>
      <c r="C402" s="3">
        <v>46097</v>
      </c>
      <c r="D402" s="5" t="str">
        <f>_xlfn.XLOOKUP([1]!Table134526_79101120212223242526[[#This Row],[Name Surname]],[1]Manpower!$C$4:$C$1048576,[1]Manpower!$B$4:$B$1048576,"")</f>
        <v>Encogroup</v>
      </c>
      <c r="E402" s="5" t="s">
        <v>53</v>
      </c>
      <c r="F402" s="4">
        <f>_xlfn.XLOOKUP([1]!Table134526_79101120212223242526[[#This Row],[Name Surname]],[1]Manpower!C:C,[1]Manpower!D:D,)</f>
        <v>140844848</v>
      </c>
      <c r="G402" s="5" t="str">
        <f>_xlfn.XLOOKUP([1]!Table134526_79101120212223242526[[#This Row],[Name Surname]],[1]Manpower!$C$4:$C$1048576,[1]Manpower!$F$4:$F$1048576,"")</f>
        <v>Assistant/Helper</v>
      </c>
      <c r="H402" s="5" t="str">
        <f>_xlfn.XLOOKUP([1]!Table134526_79101120212223242526[[#This Row],[Name Surname]],[1]Manpower!$C$4:$C$1048576,[1]Manpower!$H$4:$H$1048576,"")</f>
        <v>Manpower</v>
      </c>
      <c r="I402" s="5" t="str">
        <f>_xlfn.XLOOKUP([1]!Table134526_79101120212223242526[[#This Row],[Name Surname]],[1]Manpower!$C$4:$C$1048576,[1]Manpower!$H$4:$H$1048576,"")</f>
        <v>Manpower</v>
      </c>
      <c r="J402" s="5" t="s">
        <v>38</v>
      </c>
      <c r="K402" s="5" t="s">
        <v>7</v>
      </c>
      <c r="L402" s="5" t="s">
        <v>39</v>
      </c>
      <c r="M402" s="5" t="s">
        <v>5</v>
      </c>
      <c r="N402" s="6">
        <v>10</v>
      </c>
      <c r="O402" s="5" t="s">
        <v>33</v>
      </c>
      <c r="P402" s="5" t="s">
        <v>33</v>
      </c>
      <c r="Q402" s="5" t="s">
        <v>33</v>
      </c>
      <c r="R402" s="5" t="s">
        <v>7</v>
      </c>
      <c r="S402" s="8"/>
    </row>
    <row r="403" spans="1:19" x14ac:dyDescent="0.3">
      <c r="A403" s="9" t="e">
        <f>IF(C403="","",MAX($A$2:A402)+1)</f>
        <v>#REF!</v>
      </c>
      <c r="B403" s="17" t="s">
        <v>36</v>
      </c>
      <c r="C403" s="11">
        <v>46097</v>
      </c>
      <c r="D403" s="13" t="str">
        <f>_xlfn.XLOOKUP([1]!Table134526_79101120212223242526[[#This Row],[Name Surname]],[1]Manpower!$C$4:$C$1048576,[1]Manpower!$B$4:$B$1048576,"")</f>
        <v>Encogroup</v>
      </c>
      <c r="E403" s="13" t="s">
        <v>54</v>
      </c>
      <c r="F403" s="12">
        <f>_xlfn.XLOOKUP([1]!Table134526_79101120212223242526[[#This Row],[Name Surname]],[1]Manpower!C:C,[1]Manpower!D:D,)</f>
        <v>141359216</v>
      </c>
      <c r="G403" s="13" t="str">
        <f>_xlfn.XLOOKUP([1]!Table134526_79101120212223242526[[#This Row],[Name Surname]],[1]Manpower!$C$4:$C$1048576,[1]Manpower!$F$4:$F$1048576,"")</f>
        <v>Electrician</v>
      </c>
      <c r="H403" s="13" t="str">
        <f>_xlfn.XLOOKUP([1]!Table134526_79101120212223242526[[#This Row],[Name Surname]],[1]Manpower!$C$4:$C$1048576,[1]Manpower!$H$4:$H$1048576,"")</f>
        <v>Manpower</v>
      </c>
      <c r="I403" s="13" t="str">
        <f>_xlfn.XLOOKUP([1]!Table134526_79101120212223242526[[#This Row],[Name Surname]],[1]Manpower!$C$4:$C$1048576,[1]Manpower!$H$4:$H$1048576,"")</f>
        <v>Manpower</v>
      </c>
      <c r="J403" s="13" t="s">
        <v>38</v>
      </c>
      <c r="K403" s="13" t="s">
        <v>7</v>
      </c>
      <c r="L403" s="13" t="s">
        <v>39</v>
      </c>
      <c r="M403" s="13" t="s">
        <v>5</v>
      </c>
      <c r="N403" s="14">
        <v>10</v>
      </c>
      <c r="O403" s="13" t="s">
        <v>33</v>
      </c>
      <c r="P403" s="13" t="s">
        <v>33</v>
      </c>
      <c r="Q403" s="13" t="s">
        <v>33</v>
      </c>
      <c r="R403" s="13" t="s">
        <v>7</v>
      </c>
      <c r="S403" s="15"/>
    </row>
    <row r="404" spans="1:19" x14ac:dyDescent="0.3">
      <c r="A404" s="1" t="e">
        <f>IF(C404="","",MAX($A$2:A403)+1)</f>
        <v>#REF!</v>
      </c>
      <c r="B404" s="17" t="s">
        <v>36</v>
      </c>
      <c r="C404" s="3">
        <v>46097</v>
      </c>
      <c r="D404" s="5" t="str">
        <f>_xlfn.XLOOKUP([1]!Table134526_79101120212223242526[[#This Row],[Name Surname]],[1]Manpower!$C$4:$C$1048576,[1]Manpower!$B$4:$B$1048576,"")</f>
        <v>Encogroup</v>
      </c>
      <c r="E404" s="5" t="s">
        <v>55</v>
      </c>
      <c r="F404" s="4">
        <f>_xlfn.XLOOKUP([1]!Table134526_79101120212223242526[[#This Row],[Name Surname]],[1]Manpower!C:C,[1]Manpower!D:D,)</f>
        <v>140683399</v>
      </c>
      <c r="G404" s="5" t="str">
        <f>_xlfn.XLOOKUP([1]!Table134526_79101120212223242526[[#This Row],[Name Surname]],[1]Manpower!$C$4:$C$1048576,[1]Manpower!$F$4:$F$1048576,"")</f>
        <v>Rigger</v>
      </c>
      <c r="H404" s="5" t="str">
        <f>_xlfn.XLOOKUP([1]!Table134526_79101120212223242526[[#This Row],[Name Surname]],[1]Manpower!$C$4:$C$1048576,[1]Manpower!$H$4:$H$1048576,"")</f>
        <v>Manpower</v>
      </c>
      <c r="I404" s="5" t="str">
        <f>_xlfn.XLOOKUP([1]!Table134526_79101120212223242526[[#This Row],[Name Surname]],[1]Manpower!$C$4:$C$1048576,[1]Manpower!$H$4:$H$1048576,"")</f>
        <v>Manpower</v>
      </c>
      <c r="J404" s="5" t="s">
        <v>38</v>
      </c>
      <c r="K404" s="5" t="s">
        <v>7</v>
      </c>
      <c r="L404" s="5" t="s">
        <v>39</v>
      </c>
      <c r="M404" s="5" t="s">
        <v>5</v>
      </c>
      <c r="N404" s="6">
        <v>10</v>
      </c>
      <c r="O404" s="5" t="s">
        <v>33</v>
      </c>
      <c r="P404" s="5" t="s">
        <v>33</v>
      </c>
      <c r="Q404" s="5" t="s">
        <v>33</v>
      </c>
      <c r="R404" s="5" t="s">
        <v>7</v>
      </c>
      <c r="S404" s="8"/>
    </row>
    <row r="405" spans="1:19" x14ac:dyDescent="0.3">
      <c r="A405" s="9" t="e">
        <f>IF(C405="","",MAX($A$2:A404)+1)</f>
        <v>#REF!</v>
      </c>
      <c r="B405" s="17" t="s">
        <v>36</v>
      </c>
      <c r="C405" s="11">
        <v>46097</v>
      </c>
      <c r="D405" s="13" t="str">
        <f>_xlfn.XLOOKUP([1]!Table134526_79101120212223242526[[#This Row],[Name Surname]],[1]Manpower!$C$4:$C$1048576,[1]Manpower!$B$4:$B$1048576,"")</f>
        <v>Encogroup</v>
      </c>
      <c r="E405" s="13" t="s">
        <v>56</v>
      </c>
      <c r="F405" s="12">
        <f>_xlfn.XLOOKUP([1]!Table134526_79101120212223242526[[#This Row],[Name Surname]],[1]Manpower!C:C,[1]Manpower!D:D,)</f>
        <v>141365164</v>
      </c>
      <c r="G405" s="13" t="str">
        <f>_xlfn.XLOOKUP([1]!Table134526_79101120212223242526[[#This Row],[Name Surname]],[1]Manpower!$C$4:$C$1048576,[1]Manpower!$F$4:$F$1048576,"")</f>
        <v>Helper</v>
      </c>
      <c r="H405" s="13" t="str">
        <f>_xlfn.XLOOKUP([1]!Table134526_79101120212223242526[[#This Row],[Name Surname]],[1]Manpower!$C$4:$C$1048576,[1]Manpower!$H$4:$H$1048576,"")</f>
        <v>Manpower</v>
      </c>
      <c r="I405" s="13" t="str">
        <f>_xlfn.XLOOKUP([1]!Table134526_79101120212223242526[[#This Row],[Name Surname]],[1]Manpower!$C$4:$C$1048576,[1]Manpower!$H$4:$H$1048576,"")</f>
        <v>Manpower</v>
      </c>
      <c r="J405" s="13" t="s">
        <v>38</v>
      </c>
      <c r="K405" s="13" t="s">
        <v>7</v>
      </c>
      <c r="L405" s="13" t="s">
        <v>39</v>
      </c>
      <c r="M405" s="13" t="s">
        <v>5</v>
      </c>
      <c r="N405" s="14">
        <v>10</v>
      </c>
      <c r="O405" s="13" t="s">
        <v>33</v>
      </c>
      <c r="P405" s="13" t="s">
        <v>33</v>
      </c>
      <c r="Q405" s="13" t="s">
        <v>33</v>
      </c>
      <c r="R405" s="13" t="s">
        <v>7</v>
      </c>
      <c r="S405" s="15"/>
    </row>
    <row r="406" spans="1:19" x14ac:dyDescent="0.3">
      <c r="A406" s="1" t="e">
        <f>IF(C406="","",MAX($A$2:A405)+1)</f>
        <v>#REF!</v>
      </c>
      <c r="B406" s="17" t="s">
        <v>36</v>
      </c>
      <c r="C406" s="3">
        <v>46097</v>
      </c>
      <c r="D406" s="5" t="str">
        <f>_xlfn.XLOOKUP([1]!Table134526_79101120212223242526[[#This Row],[Name Surname]],[1]Manpower!$C$4:$C$1048576,[1]Manpower!$B$4:$B$1048576,"")</f>
        <v>Bright Light</v>
      </c>
      <c r="E406" s="5" t="s">
        <v>57</v>
      </c>
      <c r="F406" s="4" t="e">
        <f>_xlfn.XLOOKUP([1]!Table134526_79101120212223242526[[#This Row],[Name Surname]],[1]Manpower!C:C,[1]Manpower!D:D,)</f>
        <v>#N/A</v>
      </c>
      <c r="G406" s="5" t="str">
        <f>_xlfn.XLOOKUP([1]!Table134526_79101120212223242526[[#This Row],[Name Surname]],[1]Manpower!$C$4:$C$1048576,[1]Manpower!$F$4:$F$1048576,"")</f>
        <v>Trailer</v>
      </c>
      <c r="H406" s="5" t="str">
        <f>_xlfn.XLOOKUP([1]!Table134526_79101120212223242526[[#This Row],[Name Surname]],[1]Manpower!$C$4:$C$1048576,[1]Manpower!$H$4:$H$1048576,"")</f>
        <v>Equipment</v>
      </c>
      <c r="I406" s="5" t="str">
        <f>_xlfn.XLOOKUP([1]!Table134526_79101120212223242526[[#This Row],[Name Surname]],[1]Manpower!$C$4:$C$1048576,[1]Manpower!$H$4:$H$1048576,"")</f>
        <v>Equipment</v>
      </c>
      <c r="J406" s="5" t="s">
        <v>38</v>
      </c>
      <c r="K406" s="5" t="s">
        <v>7</v>
      </c>
      <c r="L406" s="5" t="s">
        <v>39</v>
      </c>
      <c r="M406" s="5" t="s">
        <v>5</v>
      </c>
      <c r="N406" s="6">
        <v>8</v>
      </c>
      <c r="O406" s="5" t="s">
        <v>11</v>
      </c>
      <c r="P406" s="5" t="s">
        <v>13</v>
      </c>
      <c r="Q406" s="5" t="s">
        <v>13</v>
      </c>
      <c r="R406" s="5" t="s">
        <v>7</v>
      </c>
      <c r="S406" s="8"/>
    </row>
    <row r="407" spans="1:19" x14ac:dyDescent="0.3">
      <c r="A407" s="9" t="e">
        <f>IF(C407="","",MAX($A$2:A406)+1)</f>
        <v>#REF!</v>
      </c>
      <c r="B407" s="17" t="s">
        <v>36</v>
      </c>
      <c r="C407" s="11">
        <v>46097</v>
      </c>
      <c r="D407" s="13" t="str">
        <f>_xlfn.XLOOKUP([1]!Table134526_79101120212223242526[[#This Row],[Name Surname]],[1]Manpower!$C$4:$C$1048576,[1]Manpower!$B$4:$B$1048576,"")</f>
        <v>Encogroup</v>
      </c>
      <c r="E407" s="11" t="s">
        <v>58</v>
      </c>
      <c r="F407" s="12">
        <f>_xlfn.XLOOKUP([1]!Table134526_79101120212223242526[[#This Row],[Name Surname]],[1]Manpower!C:C,[1]Manpower!D:D,)</f>
        <v>140477664</v>
      </c>
      <c r="G407" s="13" t="str">
        <f>_xlfn.XLOOKUP([1]!Table134526_79101120212223242526[[#This Row],[Name Surname]],[1]Manpower!$C$4:$C$1048576,[1]Manpower!$F$4:$F$1048576,"")</f>
        <v>Junior HSE Officer</v>
      </c>
      <c r="H407" s="13" t="str">
        <f>_xlfn.XLOOKUP([1]!Table134526_79101120212223242526[[#This Row],[Name Surname]],[1]Manpower!$C$4:$C$1048576,[1]Manpower!$H$4:$H$1048576,"")</f>
        <v>Manpower</v>
      </c>
      <c r="I407" s="13" t="str">
        <f>_xlfn.XLOOKUP([1]!Table134526_79101120212223242526[[#This Row],[Name Surname]],[1]Manpower!$C$4:$C$1048576,[1]Manpower!$H$4:$H$1048576,"")</f>
        <v>Manpower</v>
      </c>
      <c r="J407" s="13" t="s">
        <v>38</v>
      </c>
      <c r="K407" s="13" t="s">
        <v>7</v>
      </c>
      <c r="L407" s="13" t="s">
        <v>39</v>
      </c>
      <c r="M407" s="13" t="s">
        <v>18</v>
      </c>
      <c r="N407" s="14">
        <v>10</v>
      </c>
      <c r="O407" s="13"/>
      <c r="P407" s="13"/>
      <c r="Q407" s="13"/>
      <c r="R407" s="13" t="s">
        <v>19</v>
      </c>
      <c r="S407" s="15"/>
    </row>
    <row r="408" spans="1:19" x14ac:dyDescent="0.3">
      <c r="A408" s="1" t="e">
        <f>IF(C408="","",MAX($A$2:A407)+1)</f>
        <v>#REF!</v>
      </c>
      <c r="B408" s="17" t="s">
        <v>36</v>
      </c>
      <c r="C408" s="3">
        <v>46097</v>
      </c>
      <c r="D408" s="5" t="str">
        <f>_xlfn.XLOOKUP([1]!Table134526_79101120212223242526[[#This Row],[Name Surname]],[1]Manpower!$C$4:$C$1048576,[1]Manpower!$B$4:$B$1048576,"")</f>
        <v>AL Omar International TRAD AND CONT</v>
      </c>
      <c r="E408" s="3" t="s">
        <v>59</v>
      </c>
      <c r="F408" s="4">
        <f>_xlfn.XLOOKUP([1]!Table134526_79101120212223242526[[#This Row],[Name Surname]],[1]Manpower!C:C,[1]Manpower!D:D,)</f>
        <v>116676257</v>
      </c>
      <c r="G408" s="5" t="str">
        <f>_xlfn.XLOOKUP([1]!Table134526_79101120212223242526[[#This Row],[Name Surname]],[1]Manpower!$C$4:$C$1048576,[1]Manpower!$F$4:$F$1048576,"")</f>
        <v>Scaffolder</v>
      </c>
      <c r="H408" s="5" t="str">
        <f>_xlfn.XLOOKUP([1]!Table134526_79101120212223242526[[#This Row],[Name Surname]],[1]Manpower!$C$4:$C$1048576,[1]Manpower!$H$4:$H$1048576,"")</f>
        <v>Sub Contactor</v>
      </c>
      <c r="I408" s="5" t="str">
        <f>_xlfn.XLOOKUP([1]!Table134526_79101120212223242526[[#This Row],[Name Surname]],[1]Manpower!$C$4:$C$1048576,[1]Manpower!$H$4:$H$1048576,"")</f>
        <v>Sub Contactor</v>
      </c>
      <c r="J408" s="5" t="s">
        <v>38</v>
      </c>
      <c r="K408" s="5" t="s">
        <v>7</v>
      </c>
      <c r="L408" s="5" t="s">
        <v>39</v>
      </c>
      <c r="M408" s="5" t="s">
        <v>18</v>
      </c>
      <c r="N408" s="6">
        <v>10</v>
      </c>
      <c r="O408" s="5"/>
      <c r="P408" s="5"/>
      <c r="Q408" s="5"/>
      <c r="R408" s="5" t="s">
        <v>19</v>
      </c>
      <c r="S408" s="8"/>
    </row>
    <row r="409" spans="1:19" x14ac:dyDescent="0.3">
      <c r="A409" s="9" t="e">
        <f>IF(C409="","",MAX($A$2:A408)+1)</f>
        <v>#REF!</v>
      </c>
      <c r="B409" s="10" t="s">
        <v>0</v>
      </c>
      <c r="C409" s="11">
        <v>46098</v>
      </c>
      <c r="D409" s="13" t="str">
        <f>_xlfn.XLOOKUP([1]!Table134526_79101120212223242526[[#This Row],[Name Surname]],[1]Manpower!$C$4:$C$1048576,[1]Manpower!$B$4:$B$1048576,"")</f>
        <v>Encogroup</v>
      </c>
      <c r="E409" s="11" t="s">
        <v>61</v>
      </c>
      <c r="F409" s="12">
        <f>_xlfn.XLOOKUP([1]!Table134526_79101120212223242526[[#This Row],[Name Surname]],[1]Manpower!C:C,[1]Manpower!D:D,)</f>
        <v>140846698</v>
      </c>
      <c r="G409" s="13" t="str">
        <f>_xlfn.XLOOKUP([1]!Table134526_79101120212223242526[[#This Row],[Name Surname]],[1]Manpower!$C$4:$C$1048576,[1]Manpower!$F$4:$F$1048576,"")</f>
        <v>Assistant/Helper</v>
      </c>
      <c r="H409" s="13" t="str">
        <f>_xlfn.XLOOKUP([1]!Table134526_79101120212223242526[[#This Row],[Name Surname]],[1]Manpower!$C$4:$C$1048576,[1]Manpower!$H$4:$H$1048576,"")</f>
        <v>Manpower</v>
      </c>
      <c r="I409" s="13" t="str">
        <f>_xlfn.XLOOKUP([1]!Table134526_79101120212223242526[[#This Row],[Name Surname]],[1]Manpower!$C$4:$C$1048576,[1]Manpower!$H$4:$H$1048576,"")</f>
        <v>Manpower</v>
      </c>
      <c r="J409" s="13" t="s">
        <v>9</v>
      </c>
      <c r="K409" s="13" t="s">
        <v>7</v>
      </c>
      <c r="L409" s="13" t="s">
        <v>10</v>
      </c>
      <c r="M409" s="13" t="s">
        <v>5</v>
      </c>
      <c r="N409" s="14" t="s">
        <v>100</v>
      </c>
      <c r="O409" s="13" t="s">
        <v>11</v>
      </c>
      <c r="P409" s="13" t="s">
        <v>12</v>
      </c>
      <c r="Q409" s="13" t="s">
        <v>13</v>
      </c>
      <c r="R409" s="13" t="s">
        <v>103</v>
      </c>
      <c r="S409" s="15"/>
    </row>
    <row r="410" spans="1:19" x14ac:dyDescent="0.3">
      <c r="A410" s="1" t="e">
        <f>IF(C410="","",MAX($A$2:A409)+1)</f>
        <v>#REF!</v>
      </c>
      <c r="B410" s="10" t="s">
        <v>0</v>
      </c>
      <c r="C410" s="3">
        <v>46098</v>
      </c>
      <c r="D410" s="5" t="str">
        <f>_xlfn.XLOOKUP([1]!Table134526_79101120212223242526[[#This Row],[Name Surname]],[1]Manpower!$C$4:$C$1048576,[1]Manpower!$B$4:$B$1048576,"")</f>
        <v>SARENS NASS</v>
      </c>
      <c r="E410" s="5" t="s">
        <v>8</v>
      </c>
      <c r="F410" s="4">
        <f>_xlfn.XLOOKUP([1]!Table134526_79101120212223242526[[#This Row],[Name Surname]],[1]Manpower!C:C,[1]Manpower!D:D,)</f>
        <v>109957631</v>
      </c>
      <c r="G410" s="5" t="str">
        <f>_xlfn.XLOOKUP([1]!Table134526_79101120212223242526[[#This Row],[Name Surname]],[1]Manpower!$C$4:$C$1048576,[1]Manpower!$F$4:$F$1048576,"")</f>
        <v>Crane Operator-130T Liebherr Crawler</v>
      </c>
      <c r="H410" s="5" t="str">
        <f>_xlfn.XLOOKUP([1]!Table134526_79101120212223242526[[#This Row],[Name Surname]],[1]Manpower!$C$4:$C$1048576,[1]Manpower!$H$4:$H$1048576,"")</f>
        <v>Manpower</v>
      </c>
      <c r="I410" s="5" t="str">
        <f>_xlfn.XLOOKUP([1]!Table134526_79101120212223242526[[#This Row],[Name Surname]],[1]Manpower!$C$4:$C$1048576,[1]Manpower!$H$4:$H$1048576,"")</f>
        <v>Manpower</v>
      </c>
      <c r="J410" s="5" t="s">
        <v>9</v>
      </c>
      <c r="K410" s="5" t="s">
        <v>7</v>
      </c>
      <c r="L410" s="5" t="s">
        <v>10</v>
      </c>
      <c r="M410" s="5" t="s">
        <v>5</v>
      </c>
      <c r="N410" s="6">
        <v>10</v>
      </c>
      <c r="O410" s="5" t="s">
        <v>11</v>
      </c>
      <c r="P410" s="5" t="s">
        <v>12</v>
      </c>
      <c r="Q410" s="5" t="s">
        <v>13</v>
      </c>
      <c r="R410" s="5" t="s">
        <v>7</v>
      </c>
      <c r="S410" s="8"/>
    </row>
    <row r="411" spans="1:19" x14ac:dyDescent="0.3">
      <c r="A411" s="9" t="e">
        <f>IF(C411="","",MAX($A$2:A410)+1)</f>
        <v>#REF!</v>
      </c>
      <c r="B411" s="10" t="s">
        <v>0</v>
      </c>
      <c r="C411" s="11">
        <v>46098</v>
      </c>
      <c r="D411" s="13" t="str">
        <f>_xlfn.XLOOKUP([1]!Table134526_79101120212223242526[[#This Row],[Name Surname]],[1]Manpower!$C$4:$C$1048576,[1]Manpower!$B$4:$B$1048576,"")</f>
        <v>Encogroup</v>
      </c>
      <c r="E411" s="13" t="s">
        <v>17</v>
      </c>
      <c r="F411" s="12">
        <f>_xlfn.XLOOKUP([1]!Table134526_79101120212223242526[[#This Row],[Name Surname]],[1]Manpower!C:C,[1]Manpower!D:D,)</f>
        <v>140742177</v>
      </c>
      <c r="G411" s="13" t="str">
        <f>_xlfn.XLOOKUP([1]!Table134526_79101120212223242526[[#This Row],[Name Surname]],[1]Manpower!$C$4:$C$1048576,[1]Manpower!$F$4:$F$1048576,"")</f>
        <v>Grinder</v>
      </c>
      <c r="H411" s="13" t="str">
        <f>_xlfn.XLOOKUP([1]!Table134526_79101120212223242526[[#This Row],[Name Surname]],[1]Manpower!$C$4:$C$1048576,[1]Manpower!$H$4:$H$1048576,"")</f>
        <v>Manpower</v>
      </c>
      <c r="I411" s="13" t="str">
        <f>_xlfn.XLOOKUP([1]!Table134526_79101120212223242526[[#This Row],[Name Surname]],[1]Manpower!$C$4:$C$1048576,[1]Manpower!$H$4:$H$1048576,"")</f>
        <v>Manpower</v>
      </c>
      <c r="J411" s="13" t="s">
        <v>9</v>
      </c>
      <c r="K411" s="13" t="s">
        <v>7</v>
      </c>
      <c r="L411" s="13" t="s">
        <v>10</v>
      </c>
      <c r="M411" s="13" t="s">
        <v>5</v>
      </c>
      <c r="N411" s="14">
        <v>10</v>
      </c>
      <c r="O411" s="13" t="s">
        <v>6</v>
      </c>
      <c r="P411" s="13" t="s">
        <v>12</v>
      </c>
      <c r="Q411" s="13" t="s">
        <v>29</v>
      </c>
      <c r="R411" s="13" t="s">
        <v>7</v>
      </c>
      <c r="S411" s="15"/>
    </row>
    <row r="412" spans="1:19" x14ac:dyDescent="0.3">
      <c r="A412" s="1" t="e">
        <f>IF(C412="","",MAX($A$2:A411)+1)</f>
        <v>#REF!</v>
      </c>
      <c r="B412" s="10" t="s">
        <v>0</v>
      </c>
      <c r="C412" s="3">
        <v>46098</v>
      </c>
      <c r="D412" s="5" t="str">
        <f>_xlfn.XLOOKUP([1]!Table134526_79101120212223242526[[#This Row],[Name Surname]],[1]Manpower!$C$4:$C$1048576,[1]Manpower!$B$4:$B$1048576,"")</f>
        <v>Encogroup</v>
      </c>
      <c r="E412" s="5" t="s">
        <v>15</v>
      </c>
      <c r="F412" s="4">
        <f>_xlfn.XLOOKUP([1]!Table134526_79101120212223242526[[#This Row],[Name Surname]],[1]Manpower!C:C,[1]Manpower!D:D,)</f>
        <v>116853914</v>
      </c>
      <c r="G412" s="5" t="str">
        <f>_xlfn.XLOOKUP([1]!Table134526_79101120212223242526[[#This Row],[Name Surname]],[1]Manpower!$C$4:$C$1048576,[1]Manpower!$F$4:$F$1048576,"")</f>
        <v>Electrical Supervisor</v>
      </c>
      <c r="H412" s="5" t="str">
        <f>_xlfn.XLOOKUP([1]!Table134526_79101120212223242526[[#This Row],[Name Surname]],[1]Manpower!$C$4:$C$1048576,[1]Manpower!$H$4:$H$1048576,"")</f>
        <v>Manpower</v>
      </c>
      <c r="I412" s="5" t="str">
        <f>_xlfn.XLOOKUP([1]!Table134526_79101120212223242526[[#This Row],[Name Surname]],[1]Manpower!$C$4:$C$1048576,[1]Manpower!$H$4:$H$1048576,"")</f>
        <v>Manpower</v>
      </c>
      <c r="J412" s="5" t="s">
        <v>9</v>
      </c>
      <c r="K412" s="5" t="s">
        <v>7</v>
      </c>
      <c r="L412" s="5" t="s">
        <v>10</v>
      </c>
      <c r="M412" s="5" t="s">
        <v>5</v>
      </c>
      <c r="N412" s="6">
        <v>10</v>
      </c>
      <c r="O412" s="5" t="s">
        <v>6</v>
      </c>
      <c r="P412" s="5" t="s">
        <v>12</v>
      </c>
      <c r="Q412" s="5" t="s">
        <v>29</v>
      </c>
      <c r="R412" s="5" t="s">
        <v>7</v>
      </c>
      <c r="S412" s="8"/>
    </row>
    <row r="413" spans="1:19" x14ac:dyDescent="0.3">
      <c r="A413" s="9" t="e">
        <f>IF(C413="","",MAX($A$2:A412)+1)</f>
        <v>#REF!</v>
      </c>
      <c r="B413" s="10" t="s">
        <v>0</v>
      </c>
      <c r="C413" s="11">
        <v>46098</v>
      </c>
      <c r="D413" s="11" t="str">
        <f>_xlfn.XLOOKUP([1]!Table134526_79101120212223242526[[#This Row],[Name Surname]],[1]Manpower!$C$4:$C$1048576,[1]Manpower!$B$4:$B$1048576,"")</f>
        <v>Encogroup</v>
      </c>
      <c r="E413" s="11" t="s">
        <v>20</v>
      </c>
      <c r="F413" s="12" t="e">
        <f>_xlfn.XLOOKUP([1]!Table134526_79101120212223242526[[#This Row],[Name Surname]],[1]Manpower!C:C,[1]Manpower!D:D,)</f>
        <v>#N/A</v>
      </c>
      <c r="G413" s="11" t="str">
        <f>_xlfn.XLOOKUP([1]!Table134526_79101120212223242526[[#This Row],[Name Surname]],[1]Manpower!$C$4:$C$1048576,[1]Manpower!$F$4:$F$1048576,"")</f>
        <v>TOWER LIGHT</v>
      </c>
      <c r="H413" s="11" t="str">
        <f>_xlfn.XLOOKUP([1]!Table134526_79101120212223242526[[#This Row],[Name Surname]],[1]Manpower!$C$4:$C$1048576,[1]Manpower!$H$4:$H$1048576,"")</f>
        <v>Equipment</v>
      </c>
      <c r="I413" s="11" t="str">
        <f>_xlfn.XLOOKUP([1]!Table134526_79101120212223242526[[#This Row],[Name Surname]],[1]Manpower!$C$4:$C$1048576,[1]Manpower!$H$4:$H$1048576,"")</f>
        <v>Equipment</v>
      </c>
      <c r="J413" s="13" t="s">
        <v>9</v>
      </c>
      <c r="K413" s="13" t="s">
        <v>7</v>
      </c>
      <c r="L413" s="13" t="s">
        <v>10</v>
      </c>
      <c r="M413" s="13" t="s">
        <v>5</v>
      </c>
      <c r="N413" s="14">
        <v>10</v>
      </c>
      <c r="O413" s="13" t="s">
        <v>6</v>
      </c>
      <c r="P413" s="13" t="s">
        <v>12</v>
      </c>
      <c r="Q413" s="13" t="s">
        <v>12</v>
      </c>
      <c r="R413" s="13" t="s">
        <v>7</v>
      </c>
      <c r="S413" s="15"/>
    </row>
    <row r="414" spans="1:19" x14ac:dyDescent="0.3">
      <c r="A414" s="1" t="e">
        <f>IF(C414="","",MAX($A$2:A413)+1)</f>
        <v>#REF!</v>
      </c>
      <c r="B414" s="16" t="s">
        <v>21</v>
      </c>
      <c r="C414" s="3">
        <v>46098</v>
      </c>
      <c r="D414" s="5" t="str">
        <f>_xlfn.XLOOKUP([1]!Table134526_79101120212223242526[[#This Row],[Name Surname]],[1]Manpower!$C$4:$C$1048576,[1]Manpower!$B$4:$B$1048576,"")</f>
        <v>Encogroup</v>
      </c>
      <c r="E414" s="5" t="s">
        <v>22</v>
      </c>
      <c r="F414" s="4" t="e">
        <f>_xlfn.XLOOKUP([1]!Table134526_79101120212223242526[[#This Row],[Name Surname]],[1]Manpower!C:C,[1]Manpower!D:D,)</f>
        <v>#N/A</v>
      </c>
      <c r="G414" s="5" t="str">
        <f>_xlfn.XLOOKUP([1]!Table134526_79101120212223242526[[#This Row],[Name Surname]],[1]Manpower!$C$4:$C$1048576,[1]Manpower!$F$4:$F$1048576,"")</f>
        <v>TOWER LIGHT</v>
      </c>
      <c r="H414" s="5" t="str">
        <f>_xlfn.XLOOKUP([1]!Table134526_79101120212223242526[[#This Row],[Name Surname]],[1]Manpower!$C$4:$C$1048576,[1]Manpower!$H$4:$H$1048576,"")</f>
        <v>Equipment</v>
      </c>
      <c r="I414" s="5" t="str">
        <f>_xlfn.XLOOKUP([1]!Table134526_79101120212223242526[[#This Row],[Name Surname]],[1]Manpower!$C$4:$C$1048576,[1]Manpower!$H$4:$H$1048576,"")</f>
        <v>Equipment</v>
      </c>
      <c r="J414" s="5" t="s">
        <v>23</v>
      </c>
      <c r="K414" s="5" t="s">
        <v>72</v>
      </c>
      <c r="L414" s="5" t="s">
        <v>25</v>
      </c>
      <c r="M414" s="5" t="s">
        <v>5</v>
      </c>
      <c r="N414" s="6">
        <v>10</v>
      </c>
      <c r="O414" s="5" t="s">
        <v>6</v>
      </c>
      <c r="P414" s="5" t="s">
        <v>12</v>
      </c>
      <c r="Q414" s="5" t="s">
        <v>26</v>
      </c>
      <c r="R414" s="5" t="s">
        <v>104</v>
      </c>
      <c r="S414" s="8"/>
    </row>
    <row r="415" spans="1:19" x14ac:dyDescent="0.3">
      <c r="A415" s="9" t="e">
        <f>IF(C415="","",MAX($A$2:A414)+1)</f>
        <v>#REF!</v>
      </c>
      <c r="B415" s="16" t="s">
        <v>21</v>
      </c>
      <c r="C415" s="11">
        <v>46098</v>
      </c>
      <c r="D415" s="13" t="str">
        <f>_xlfn.XLOOKUP([1]!Table134526_79101120212223242526[[#This Row],[Name Surname]],[1]Manpower!$C$4:$C$1048576,[1]Manpower!$B$4:$B$1048576,"")</f>
        <v>AL Omar International Tarde&amp;Contracting SPC</v>
      </c>
      <c r="E415" s="13" t="s">
        <v>28</v>
      </c>
      <c r="F415" s="12">
        <f>_xlfn.XLOOKUP([1]!Table134526_79101120212223242526[[#This Row],[Name Surname]],[1]Manpower!C:C,[1]Manpower!D:D,)</f>
        <v>115122635</v>
      </c>
      <c r="G415" s="13" t="str">
        <f>_xlfn.XLOOKUP([1]!Table134526_79101120212223242526[[#This Row],[Name Surname]],[1]Manpower!$C$4:$C$1048576,[1]Manpower!$F$4:$F$1048576,"")</f>
        <v>Scaffolder</v>
      </c>
      <c r="H415" s="13" t="str">
        <f>_xlfn.XLOOKUP([1]!Table134526_79101120212223242526[[#This Row],[Name Surname]],[1]Manpower!$C$4:$C$1048576,[1]Manpower!$H$4:$H$1048576,"")</f>
        <v>Sub Contactor</v>
      </c>
      <c r="I415" s="13" t="str">
        <f>_xlfn.XLOOKUP([1]!Table134526_79101120212223242526[[#This Row],[Name Surname]],[1]Manpower!$C$4:$C$1048576,[1]Manpower!$H$4:$H$1048576,"")</f>
        <v>Sub Contactor</v>
      </c>
      <c r="J415" s="13" t="s">
        <v>23</v>
      </c>
      <c r="K415" s="13" t="s">
        <v>72</v>
      </c>
      <c r="L415" s="13" t="s">
        <v>25</v>
      </c>
      <c r="M415" s="13" t="s">
        <v>5</v>
      </c>
      <c r="N415" s="14">
        <v>10</v>
      </c>
      <c r="O415" s="13" t="s">
        <v>6</v>
      </c>
      <c r="P415" s="13" t="s">
        <v>12</v>
      </c>
      <c r="Q415" s="13" t="s">
        <v>26</v>
      </c>
      <c r="R415" s="13" t="s">
        <v>105</v>
      </c>
      <c r="S415" s="15"/>
    </row>
    <row r="416" spans="1:19" x14ac:dyDescent="0.3">
      <c r="A416" s="1" t="e">
        <f>IF(C416="","",MAX($A$2:A415)+1)</f>
        <v>#REF!</v>
      </c>
      <c r="B416" s="16" t="s">
        <v>21</v>
      </c>
      <c r="C416" s="3">
        <v>46098</v>
      </c>
      <c r="D416" s="5" t="str">
        <f>_xlfn.XLOOKUP([1]!Table134526_79101120212223242526[[#This Row],[Name Surname]],[1]Manpower!$C$4:$C$1048576,[1]Manpower!$B$4:$B$1048576,"")</f>
        <v>Encogroup</v>
      </c>
      <c r="E416" s="5" t="s">
        <v>31</v>
      </c>
      <c r="F416" s="4">
        <f>_xlfn.XLOOKUP([1]!Table134526_79101120212223242526[[#This Row],[Name Surname]],[1]Manpower!C:C,[1]Manpower!D:D,)</f>
        <v>137114773</v>
      </c>
      <c r="G416" s="5" t="str">
        <f>_xlfn.XLOOKUP([1]!Table134526_79101120212223242526[[#This Row],[Name Surname]],[1]Manpower!$C$4:$C$1048576,[1]Manpower!$F$4:$F$1048576,"")</f>
        <v>Rigger</v>
      </c>
      <c r="H416" s="5" t="str">
        <f>_xlfn.XLOOKUP([1]!Table134526_79101120212223242526[[#This Row],[Name Surname]],[1]Manpower!$C$4:$C$1048576,[1]Manpower!$H$4:$H$1048576,"")</f>
        <v>Manpower</v>
      </c>
      <c r="I416" s="5" t="str">
        <f>_xlfn.XLOOKUP([1]!Table134526_79101120212223242526[[#This Row],[Name Surname]],[1]Manpower!$C$4:$C$1048576,[1]Manpower!$H$4:$H$1048576,"")</f>
        <v>Manpower</v>
      </c>
      <c r="J416" s="5" t="s">
        <v>23</v>
      </c>
      <c r="K416" s="5" t="s">
        <v>72</v>
      </c>
      <c r="L416" s="5" t="s">
        <v>25</v>
      </c>
      <c r="M416" s="5" t="s">
        <v>5</v>
      </c>
      <c r="N416" s="6">
        <v>10</v>
      </c>
      <c r="O416" s="5" t="s">
        <v>11</v>
      </c>
      <c r="P416" s="5" t="s">
        <v>12</v>
      </c>
      <c r="Q416" s="5" t="s">
        <v>13</v>
      </c>
      <c r="R416" s="5" t="s">
        <v>106</v>
      </c>
      <c r="S416" s="8"/>
    </row>
    <row r="417" spans="1:19" x14ac:dyDescent="0.3">
      <c r="A417" s="9" t="e">
        <f>IF(C417="","",MAX($A$2:A416)+1)</f>
        <v>#REF!</v>
      </c>
      <c r="B417" s="16" t="s">
        <v>21</v>
      </c>
      <c r="C417" s="11">
        <v>46098</v>
      </c>
      <c r="D417" s="13" t="str">
        <f>_xlfn.XLOOKUP([1]!Table134526_79101120212223242526[[#This Row],[Name Surname]],[1]Manpower!$C$4:$C$1048576,[1]Manpower!$B$4:$B$1048576,"")</f>
        <v>Encogroup</v>
      </c>
      <c r="E417" s="13" t="s">
        <v>41</v>
      </c>
      <c r="F417" s="12">
        <f>_xlfn.XLOOKUP([1]!Table134526_79101120212223242526[[#This Row],[Name Surname]],[1]Manpower!C:C,[1]Manpower!D:D,)</f>
        <v>122082863</v>
      </c>
      <c r="G417" s="13" t="str">
        <f>_xlfn.XLOOKUP([1]!Table134526_79101120212223242526[[#This Row],[Name Surname]],[1]Manpower!$C$4:$C$1048576,[1]Manpower!$F$4:$F$1048576,"")</f>
        <v>Grinder</v>
      </c>
      <c r="H417" s="13" t="str">
        <f>_xlfn.XLOOKUP([1]!Table134526_79101120212223242526[[#This Row],[Name Surname]],[1]Manpower!$C$4:$C$1048576,[1]Manpower!$H$4:$H$1048576,"")</f>
        <v>Manpower</v>
      </c>
      <c r="I417" s="13" t="str">
        <f>_xlfn.XLOOKUP([1]!Table134526_79101120212223242526[[#This Row],[Name Surname]],[1]Manpower!$C$4:$C$1048576,[1]Manpower!$H$4:$H$1048576,"")</f>
        <v>Manpower</v>
      </c>
      <c r="J417" s="13" t="s">
        <v>23</v>
      </c>
      <c r="K417" s="13" t="s">
        <v>107</v>
      </c>
      <c r="L417" s="13" t="s">
        <v>25</v>
      </c>
      <c r="M417" s="13" t="s">
        <v>18</v>
      </c>
      <c r="N417" s="14">
        <v>10</v>
      </c>
      <c r="O417" s="13"/>
      <c r="P417" s="13"/>
      <c r="Q417" s="13"/>
      <c r="R417" s="13" t="s">
        <v>108</v>
      </c>
      <c r="S417" s="15" t="s">
        <v>7</v>
      </c>
    </row>
    <row r="418" spans="1:19" x14ac:dyDescent="0.3">
      <c r="A418" s="1" t="e">
        <f>IF(C418="","",MAX($A$2:A417)+1)</f>
        <v>#REF!</v>
      </c>
      <c r="B418" s="16" t="s">
        <v>21</v>
      </c>
      <c r="C418" s="3">
        <v>46098</v>
      </c>
      <c r="D418" s="5" t="str">
        <f>_xlfn.XLOOKUP([1]!Table134526_79101120212223242526[[#This Row],[Name Surname]],[1]Manpower!$C$4:$C$1048576,[1]Manpower!$B$4:$B$1048576,"")</f>
        <v>Encogroup</v>
      </c>
      <c r="E418" s="3" t="s">
        <v>32</v>
      </c>
      <c r="F418" s="4">
        <f>_xlfn.XLOOKUP([1]!Table134526_79101120212223242526[[#This Row],[Name Surname]],[1]Manpower!C:C,[1]Manpower!D:D,)</f>
        <v>140696989</v>
      </c>
      <c r="G418" s="5" t="str">
        <f>_xlfn.XLOOKUP([1]!Table134526_79101120212223242526[[#This Row],[Name Surname]],[1]Manpower!$C$4:$C$1048576,[1]Manpower!$F$4:$F$1048576,"")</f>
        <v>Assistant/Helper</v>
      </c>
      <c r="H418" s="5" t="str">
        <f>_xlfn.XLOOKUP([1]!Table134526_79101120212223242526[[#This Row],[Name Surname]],[1]Manpower!$C$4:$C$1048576,[1]Manpower!$H$4:$H$1048576,"")</f>
        <v>Manpower</v>
      </c>
      <c r="I418" s="5" t="str">
        <f>_xlfn.XLOOKUP([1]!Table134526_79101120212223242526[[#This Row],[Name Surname]],[1]Manpower!$C$4:$C$1048576,[1]Manpower!$H$4:$H$1048576,"")</f>
        <v>Manpower</v>
      </c>
      <c r="J418" s="5" t="s">
        <v>23</v>
      </c>
      <c r="K418" s="5" t="s">
        <v>72</v>
      </c>
      <c r="L418" s="5" t="s">
        <v>25</v>
      </c>
      <c r="M418" s="5" t="s">
        <v>5</v>
      </c>
      <c r="N418" s="6">
        <v>10</v>
      </c>
      <c r="O418" s="5" t="s">
        <v>33</v>
      </c>
      <c r="P418" s="5" t="s">
        <v>33</v>
      </c>
      <c r="Q418" s="5" t="s">
        <v>33</v>
      </c>
      <c r="R418" s="5" t="s">
        <v>7</v>
      </c>
      <c r="S418" s="8"/>
    </row>
    <row r="419" spans="1:19" x14ac:dyDescent="0.3">
      <c r="A419" s="9" t="e">
        <f>IF(C419="","",MAX($A$2:A417)+1)</f>
        <v>#REF!</v>
      </c>
      <c r="B419" s="16" t="s">
        <v>21</v>
      </c>
      <c r="C419" s="11">
        <v>46098</v>
      </c>
      <c r="D419" s="13" t="str">
        <f>_xlfn.XLOOKUP([1]!Table134526_79101120212223242526[[#This Row],[Name Surname]],[1]Manpower!$C$4:$C$1048576,[1]Manpower!$B$4:$B$1048576,"")</f>
        <v>Encogroup</v>
      </c>
      <c r="E419" s="11" t="s">
        <v>34</v>
      </c>
      <c r="F419" s="12">
        <f>_xlfn.XLOOKUP([1]!Table134526_79101120212223242526[[#This Row],[Name Surname]],[1]Manpower!C:C,[1]Manpower!D:D,)</f>
        <v>141365094</v>
      </c>
      <c r="G419" s="13" t="str">
        <f>_xlfn.XLOOKUP([1]!Table134526_79101120212223242526[[#This Row],[Name Surname]],[1]Manpower!$C$4:$C$1048576,[1]Manpower!$F$4:$F$1048576,"")</f>
        <v>Helper</v>
      </c>
      <c r="H419" s="13" t="str">
        <f>_xlfn.XLOOKUP([1]!Table134526_79101120212223242526[[#This Row],[Name Surname]],[1]Manpower!$C$4:$C$1048576,[1]Manpower!$H$4:$H$1048576,"")</f>
        <v>Manpower</v>
      </c>
      <c r="I419" s="13" t="str">
        <f>_xlfn.XLOOKUP([1]!Table134526_79101120212223242526[[#This Row],[Name Surname]],[1]Manpower!$C$4:$C$1048576,[1]Manpower!$H$4:$H$1048576,"")</f>
        <v>Manpower</v>
      </c>
      <c r="J419" s="13" t="s">
        <v>23</v>
      </c>
      <c r="K419" s="13" t="s">
        <v>72</v>
      </c>
      <c r="L419" s="13" t="s">
        <v>25</v>
      </c>
      <c r="M419" s="13" t="s">
        <v>5</v>
      </c>
      <c r="N419" s="14">
        <v>10</v>
      </c>
      <c r="O419" s="13" t="s">
        <v>35</v>
      </c>
      <c r="P419" s="13" t="s">
        <v>35</v>
      </c>
      <c r="Q419" s="13" t="s">
        <v>35</v>
      </c>
      <c r="R419" s="13" t="s">
        <v>7</v>
      </c>
      <c r="S419" s="15"/>
    </row>
    <row r="420" spans="1:19" x14ac:dyDescent="0.3">
      <c r="A420" s="1" t="e">
        <f>IF(C420="","",MAX($A$2:A419)+1)</f>
        <v>#REF!</v>
      </c>
      <c r="B420" s="17" t="s">
        <v>36</v>
      </c>
      <c r="C420" s="3">
        <v>46098</v>
      </c>
      <c r="D420" s="5" t="str">
        <f>_xlfn.XLOOKUP([1]!Table134526_79101120212223242526[[#This Row],[Name Surname]],[1]Manpower!$C$4:$C$1048576,[1]Manpower!$B$4:$B$1048576,"")</f>
        <v xml:space="preserve">FAL Transport </v>
      </c>
      <c r="E420" s="5" t="s">
        <v>43</v>
      </c>
      <c r="F420" s="4">
        <f>_xlfn.XLOOKUP([1]!Table134526_79101120212223242526[[#This Row],[Name Surname]],[1]Manpower!C:C,[1]Manpower!D:D,)</f>
        <v>124233837</v>
      </c>
      <c r="G420" s="5" t="str">
        <f>_xlfn.XLOOKUP([1]!Table134526_79101120212223242526[[#This Row],[Name Surname]],[1]Manpower!$C$4:$C$1048576,[1]Manpower!$F$4:$F$1048576,"")</f>
        <v>Trailer Driver</v>
      </c>
      <c r="H420" s="5" t="str">
        <f>_xlfn.XLOOKUP([1]!Table134526_79101120212223242526[[#This Row],[Name Surname]],[1]Manpower!$C$4:$C$1048576,[1]Manpower!$H$4:$H$1048576,"")</f>
        <v>Sub Contactor</v>
      </c>
      <c r="I420" s="5" t="str">
        <f>_xlfn.XLOOKUP([1]!Table134526_79101120212223242526[[#This Row],[Name Surname]],[1]Manpower!$C$4:$C$1048576,[1]Manpower!$H$4:$H$1048576,"")</f>
        <v>Sub Contactor</v>
      </c>
      <c r="J420" s="5" t="s">
        <v>38</v>
      </c>
      <c r="K420" s="5" t="s">
        <v>7</v>
      </c>
      <c r="L420" s="5" t="s">
        <v>39</v>
      </c>
      <c r="M420" s="5" t="s">
        <v>5</v>
      </c>
      <c r="N420" s="6">
        <v>10</v>
      </c>
      <c r="O420" s="5" t="s">
        <v>11</v>
      </c>
      <c r="P420" s="5" t="s">
        <v>13</v>
      </c>
      <c r="Q420" s="5" t="s">
        <v>13</v>
      </c>
      <c r="R420" s="5" t="s">
        <v>109</v>
      </c>
      <c r="S420" s="8"/>
    </row>
    <row r="421" spans="1:19" x14ac:dyDescent="0.3">
      <c r="A421" s="9" t="e">
        <f>IF(C421="","",MAX($A$2:A420)+1)</f>
        <v>#REF!</v>
      </c>
      <c r="B421" s="17" t="s">
        <v>36</v>
      </c>
      <c r="C421" s="11">
        <v>46098</v>
      </c>
      <c r="D421" s="13" t="str">
        <f>_xlfn.XLOOKUP([1]!Table134526_79101120212223242526[[#This Row],[Name Surname]],[1]Manpower!$C$4:$C$1048576,[1]Manpower!$B$4:$B$1048576,"")</f>
        <v>Riyan Al Khaleej</v>
      </c>
      <c r="E421" s="13" t="s">
        <v>37</v>
      </c>
      <c r="F421" s="12" t="e">
        <f>_xlfn.XLOOKUP([1]!Table134526_79101120212223242526[[#This Row],[Name Surname]],[1]Manpower!C:C,[1]Manpower!D:D,)</f>
        <v>#N/A</v>
      </c>
      <c r="G421" s="13" t="str">
        <f>_xlfn.XLOOKUP([1]!Table134526_79101120212223242526[[#This Row],[Name Surname]],[1]Manpower!$C$4:$C$1048576,[1]Manpower!$F$4:$F$1048576,"")</f>
        <v>100T Telescopic Crane</v>
      </c>
      <c r="H421" s="13" t="str">
        <f>_xlfn.XLOOKUP([1]!Table134526_79101120212223242526[[#This Row],[Name Surname]],[1]Manpower!$C$4:$C$1048576,[1]Manpower!$H$4:$H$1048576,"")</f>
        <v>Equipment</v>
      </c>
      <c r="I421" s="13" t="str">
        <f>_xlfn.XLOOKUP([1]!Table134526_79101120212223242526[[#This Row],[Name Surname]],[1]Manpower!$C$4:$C$1048576,[1]Manpower!$H$4:$H$1048576,"")</f>
        <v>Equipment</v>
      </c>
      <c r="J421" s="13" t="s">
        <v>38</v>
      </c>
      <c r="K421" s="13" t="s">
        <v>7</v>
      </c>
      <c r="L421" s="13" t="s">
        <v>39</v>
      </c>
      <c r="M421" s="13" t="s">
        <v>5</v>
      </c>
      <c r="N421" s="14">
        <v>10</v>
      </c>
      <c r="O421" s="13" t="s">
        <v>33</v>
      </c>
      <c r="P421" s="13" t="s">
        <v>33</v>
      </c>
      <c r="Q421" s="13" t="s">
        <v>33</v>
      </c>
      <c r="R421" s="13" t="s">
        <v>7</v>
      </c>
      <c r="S421" s="15"/>
    </row>
    <row r="422" spans="1:19" x14ac:dyDescent="0.3">
      <c r="A422" s="1" t="e">
        <f>IF(C422="","",MAX($A$2:A421)+1)</f>
        <v>#REF!</v>
      </c>
      <c r="B422" s="17" t="s">
        <v>36</v>
      </c>
      <c r="C422" s="3">
        <v>46098</v>
      </c>
      <c r="D422" s="5" t="str">
        <f>_xlfn.XLOOKUP([1]!Table134526_79101120212223242526[[#This Row],[Name Surname]],[1]Manpower!$C$4:$C$1048576,[1]Manpower!$B$4:$B$1048576,"")</f>
        <v>Encogroup</v>
      </c>
      <c r="E422" s="5" t="s">
        <v>40</v>
      </c>
      <c r="F422" s="4">
        <f>_xlfn.XLOOKUP([1]!Table134526_79101120212223242526[[#This Row],[Name Surname]],[1]Manpower!C:C,[1]Manpower!D:D,)</f>
        <v>127414586</v>
      </c>
      <c r="G422" s="5" t="str">
        <f>_xlfn.XLOOKUP([1]!Table134526_79101120212223242526[[#This Row],[Name Surname]],[1]Manpower!$C$4:$C$1048576,[1]Manpower!$F$4:$F$1048576,"")</f>
        <v>Electrician</v>
      </c>
      <c r="H422" s="5" t="str">
        <f>_xlfn.XLOOKUP([1]!Table134526_79101120212223242526[[#This Row],[Name Surname]],[1]Manpower!$C$4:$C$1048576,[1]Manpower!$H$4:$H$1048576,"")</f>
        <v>Manpower</v>
      </c>
      <c r="I422" s="5" t="str">
        <f>_xlfn.XLOOKUP([1]!Table134526_79101120212223242526[[#This Row],[Name Surname]],[1]Manpower!$C$4:$C$1048576,[1]Manpower!$H$4:$H$1048576,"")</f>
        <v>Manpower</v>
      </c>
      <c r="J422" s="5" t="s">
        <v>38</v>
      </c>
      <c r="K422" s="5" t="s">
        <v>7</v>
      </c>
      <c r="L422" s="5" t="s">
        <v>39</v>
      </c>
      <c r="M422" s="5" t="s">
        <v>5</v>
      </c>
      <c r="N422" s="6">
        <v>10</v>
      </c>
      <c r="O422" s="5" t="s">
        <v>33</v>
      </c>
      <c r="P422" s="5" t="s">
        <v>33</v>
      </c>
      <c r="Q422" s="5" t="s">
        <v>33</v>
      </c>
      <c r="R422" s="5" t="s">
        <v>7</v>
      </c>
      <c r="S422" s="8"/>
    </row>
    <row r="423" spans="1:19" x14ac:dyDescent="0.3">
      <c r="A423" s="9" t="e">
        <f>IF(C423="","",MAX($A$2:A421)+1)</f>
        <v>#REF!</v>
      </c>
      <c r="B423" s="17" t="s">
        <v>36</v>
      </c>
      <c r="C423" s="11">
        <v>46098</v>
      </c>
      <c r="D423" s="13" t="str">
        <f>_xlfn.XLOOKUP([1]!Table134526_79101120212223242526[[#This Row],[Name Surname]],[1]Manpower!$C$4:$C$1048576,[1]Manpower!$B$4:$B$1048576,"")</f>
        <v>Encogroup</v>
      </c>
      <c r="E423" s="13" t="s">
        <v>1</v>
      </c>
      <c r="F423" s="12">
        <f>_xlfn.XLOOKUP([1]!Table134526_79101120212223242526[[#This Row],[Name Surname]],[1]Manpower!C:C,[1]Manpower!D:D,)</f>
        <v>127331574</v>
      </c>
      <c r="G423" s="13" t="str">
        <f>_xlfn.XLOOKUP([1]!Table134526_79101120212223242526[[#This Row],[Name Surname]],[1]Manpower!$C$4:$C$1048576,[1]Manpower!$F$4:$F$1048576,"")</f>
        <v>Permit Receiver</v>
      </c>
      <c r="H423" s="13" t="str">
        <f>_xlfn.XLOOKUP([1]!Table134526_79101120212223242526[[#This Row],[Name Surname]],[1]Manpower!$C$4:$C$1048576,[1]Manpower!$H$4:$H$1048576,"")</f>
        <v>Manpower</v>
      </c>
      <c r="I423" s="13" t="str">
        <f>_xlfn.XLOOKUP([1]!Table134526_79101120212223242526[[#This Row],[Name Surname]],[1]Manpower!$C$4:$C$1048576,[1]Manpower!$H$4:$H$1048576,"")</f>
        <v>Manpower</v>
      </c>
      <c r="J423" s="13" t="s">
        <v>38</v>
      </c>
      <c r="K423" s="13" t="s">
        <v>7</v>
      </c>
      <c r="L423" s="13" t="s">
        <v>39</v>
      </c>
      <c r="M423" s="13" t="s">
        <v>5</v>
      </c>
      <c r="N423" s="14">
        <v>8</v>
      </c>
      <c r="O423" s="13" t="s">
        <v>11</v>
      </c>
      <c r="P423" s="13" t="s">
        <v>12</v>
      </c>
      <c r="Q423" s="13" t="s">
        <v>13</v>
      </c>
      <c r="R423" s="13" t="s">
        <v>110</v>
      </c>
      <c r="S423" s="15"/>
    </row>
    <row r="424" spans="1:19" x14ac:dyDescent="0.3">
      <c r="A424" s="1" t="e">
        <f>IF(C424="","",MAX($A$2:A423)+1)</f>
        <v>#REF!</v>
      </c>
      <c r="B424" s="17" t="s">
        <v>36</v>
      </c>
      <c r="C424" s="3">
        <v>46098</v>
      </c>
      <c r="D424" s="5" t="str">
        <f>_xlfn.XLOOKUP([1]!Table134526_79101120212223242526[[#This Row],[Name Surname]],[1]Manpower!$C$4:$C$1048576,[1]Manpower!$B$4:$B$1048576,"")</f>
        <v>Encogroup</v>
      </c>
      <c r="E424" s="5" t="s">
        <v>45</v>
      </c>
      <c r="F424" s="4">
        <f>_xlfn.XLOOKUP([1]!Table134526_79101120212223242526[[#This Row],[Name Surname]],[1]Manpower!C:C,[1]Manpower!D:D,)</f>
        <v>116589569</v>
      </c>
      <c r="G424" s="5" t="str">
        <f>_xlfn.XLOOKUP([1]!Table134526_79101120212223242526[[#This Row],[Name Surname]],[1]Manpower!$C$4:$C$1048576,[1]Manpower!$F$4:$F$1048576,"")</f>
        <v>Mechanical Engineer</v>
      </c>
      <c r="H424" s="5" t="str">
        <f>_xlfn.XLOOKUP([1]!Table134526_79101120212223242526[[#This Row],[Name Surname]],[1]Manpower!$C$4:$C$1048576,[1]Manpower!$H$4:$H$1048576,"")</f>
        <v>Manpower</v>
      </c>
      <c r="I424" s="5" t="str">
        <f>_xlfn.XLOOKUP([1]!Table134526_79101120212223242526[[#This Row],[Name Surname]],[1]Manpower!$C$4:$C$1048576,[1]Manpower!$H$4:$H$1048576,"")</f>
        <v>Manpower</v>
      </c>
      <c r="J424" s="5" t="s">
        <v>38</v>
      </c>
      <c r="K424" s="5" t="s">
        <v>7</v>
      </c>
      <c r="L424" s="5" t="s">
        <v>39</v>
      </c>
      <c r="M424" s="5" t="s">
        <v>5</v>
      </c>
      <c r="N424" s="6">
        <v>10</v>
      </c>
      <c r="O424" s="5" t="s">
        <v>11</v>
      </c>
      <c r="P424" s="5" t="s">
        <v>13</v>
      </c>
      <c r="Q424" s="5" t="s">
        <v>12</v>
      </c>
      <c r="R424" s="5" t="s">
        <v>79</v>
      </c>
      <c r="S424" s="8"/>
    </row>
    <row r="425" spans="1:19" x14ac:dyDescent="0.3">
      <c r="A425" s="9" t="e">
        <f>IF(C425="","",MAX($A$2:A424)+1)</f>
        <v>#REF!</v>
      </c>
      <c r="B425" s="17" t="s">
        <v>36</v>
      </c>
      <c r="C425" s="11">
        <v>46098</v>
      </c>
      <c r="D425" s="13" t="str">
        <f>_xlfn.XLOOKUP([1]!Table134526_79101120212223242526[[#This Row],[Name Surname]],[1]Manpower!$C$4:$C$1048576,[1]Manpower!$B$4:$B$1048576,"")</f>
        <v>Encogroup</v>
      </c>
      <c r="E425" s="13" t="s">
        <v>46</v>
      </c>
      <c r="F425" s="12">
        <f>_xlfn.XLOOKUP([1]!Table134526_79101120212223242526[[#This Row],[Name Surname]],[1]Manpower!C:C,[1]Manpower!D:D,)</f>
        <v>99596058</v>
      </c>
      <c r="G425" s="13" t="str">
        <f>_xlfn.XLOOKUP([1]!Table134526_79101120212223242526[[#This Row],[Name Surname]],[1]Manpower!$C$4:$C$1048576,[1]Manpower!$F$4:$F$1048576,"")</f>
        <v>HSE Officer</v>
      </c>
      <c r="H425" s="13" t="str">
        <f>_xlfn.XLOOKUP([1]!Table134526_79101120212223242526[[#This Row],[Name Surname]],[1]Manpower!$C$4:$C$1048576,[1]Manpower!$H$4:$H$1048576,"")</f>
        <v>Manpower</v>
      </c>
      <c r="I425" s="13" t="str">
        <f>_xlfn.XLOOKUP([1]!Table134526_79101120212223242526[[#This Row],[Name Surname]],[1]Manpower!$C$4:$C$1048576,[1]Manpower!$H$4:$H$1048576,"")</f>
        <v>Manpower</v>
      </c>
      <c r="J425" s="13" t="s">
        <v>38</v>
      </c>
      <c r="K425" s="13" t="s">
        <v>7</v>
      </c>
      <c r="L425" s="13" t="s">
        <v>39</v>
      </c>
      <c r="M425" s="13" t="s">
        <v>18</v>
      </c>
      <c r="N425" s="14">
        <v>10</v>
      </c>
      <c r="O425" s="13"/>
      <c r="P425" s="13"/>
      <c r="Q425" s="13"/>
      <c r="R425" s="13" t="s">
        <v>68</v>
      </c>
      <c r="S425" s="15"/>
    </row>
    <row r="426" spans="1:19" x14ac:dyDescent="0.3">
      <c r="A426" s="1" t="e">
        <f>IF(C426="","",MAX($A$2:A425)+1)</f>
        <v>#REF!</v>
      </c>
      <c r="B426" s="17" t="s">
        <v>36</v>
      </c>
      <c r="C426" s="3">
        <v>46098</v>
      </c>
      <c r="D426" s="5" t="str">
        <f>_xlfn.XLOOKUP([1]!Table134526_79101120212223242526[[#This Row],[Name Surname]],[1]Manpower!$C$4:$C$1048576,[1]Manpower!$B$4:$B$1048576,"")</f>
        <v>Encogroup</v>
      </c>
      <c r="E426" s="5" t="s">
        <v>48</v>
      </c>
      <c r="F426" s="4">
        <f>_xlfn.XLOOKUP([1]!Table134526_79101120212223242526[[#This Row],[Name Surname]],[1]Manpower!C:C,[1]Manpower!D:D,)</f>
        <v>140697039</v>
      </c>
      <c r="G426" s="5" t="str">
        <f>_xlfn.XLOOKUP([1]!Table134526_79101120212223242526[[#This Row],[Name Surname]],[1]Manpower!$C$4:$C$1048576,[1]Manpower!$F$4:$F$1048576,"")</f>
        <v>Fitter/Erector</v>
      </c>
      <c r="H426" s="5" t="str">
        <f>_xlfn.XLOOKUP([1]!Table134526_79101120212223242526[[#This Row],[Name Surname]],[1]Manpower!$C$4:$C$1048576,[1]Manpower!$H$4:$H$1048576,"")</f>
        <v>Manpower</v>
      </c>
      <c r="I426" s="5" t="str">
        <f>_xlfn.XLOOKUP([1]!Table134526_79101120212223242526[[#This Row],[Name Surname]],[1]Manpower!$C$4:$C$1048576,[1]Manpower!$H$4:$H$1048576,"")</f>
        <v>Manpower</v>
      </c>
      <c r="J426" s="5" t="s">
        <v>38</v>
      </c>
      <c r="K426" s="5" t="s">
        <v>7</v>
      </c>
      <c r="L426" s="5" t="s">
        <v>39</v>
      </c>
      <c r="M426" s="5" t="s">
        <v>5</v>
      </c>
      <c r="N426" s="6">
        <v>10</v>
      </c>
      <c r="O426" s="5" t="s">
        <v>33</v>
      </c>
      <c r="P426" s="5" t="s">
        <v>33</v>
      </c>
      <c r="Q426" s="5" t="s">
        <v>33</v>
      </c>
      <c r="R426" s="5" t="s">
        <v>7</v>
      </c>
      <c r="S426" s="8"/>
    </row>
    <row r="427" spans="1:19" x14ac:dyDescent="0.3">
      <c r="A427" s="9" t="e">
        <f>IF(C427="","",MAX($A$2:A426)+1)</f>
        <v>#REF!</v>
      </c>
      <c r="B427" s="17" t="s">
        <v>36</v>
      </c>
      <c r="C427" s="11">
        <v>46098</v>
      </c>
      <c r="D427" s="13" t="str">
        <f>_xlfn.XLOOKUP([1]!Table134526_79101120212223242526[[#This Row],[Name Surname]],[1]Manpower!$C$4:$C$1048576,[1]Manpower!$B$4:$B$1048576,"")</f>
        <v>Encogroup</v>
      </c>
      <c r="E427" s="13" t="s">
        <v>49</v>
      </c>
      <c r="F427" s="12">
        <f>_xlfn.XLOOKUP([1]!Table134526_79101120212223242526[[#This Row],[Name Surname]],[1]Manpower!C:C,[1]Manpower!D:D,)</f>
        <v>124565057</v>
      </c>
      <c r="G427" s="13" t="str">
        <f>_xlfn.XLOOKUP([1]!Table134526_79101120212223242526[[#This Row],[Name Surname]],[1]Manpower!$C$4:$C$1048576,[1]Manpower!$F$4:$F$1048576,"")</f>
        <v>Fitter/Erector</v>
      </c>
      <c r="H427" s="13" t="str">
        <f>_xlfn.XLOOKUP([1]!Table134526_79101120212223242526[[#This Row],[Name Surname]],[1]Manpower!$C$4:$C$1048576,[1]Manpower!$H$4:$H$1048576,"")</f>
        <v>Manpower</v>
      </c>
      <c r="I427" s="13" t="str">
        <f>_xlfn.XLOOKUP([1]!Table134526_79101120212223242526[[#This Row],[Name Surname]],[1]Manpower!$C$4:$C$1048576,[1]Manpower!$H$4:$H$1048576,"")</f>
        <v>Manpower</v>
      </c>
      <c r="J427" s="13" t="s">
        <v>38</v>
      </c>
      <c r="K427" s="13" t="s">
        <v>7</v>
      </c>
      <c r="L427" s="13" t="s">
        <v>39</v>
      </c>
      <c r="M427" s="13" t="s">
        <v>5</v>
      </c>
      <c r="N427" s="14">
        <v>10</v>
      </c>
      <c r="O427" s="13" t="s">
        <v>33</v>
      </c>
      <c r="P427" s="13" t="s">
        <v>33</v>
      </c>
      <c r="Q427" s="13" t="s">
        <v>33</v>
      </c>
      <c r="R427" s="13" t="s">
        <v>7</v>
      </c>
      <c r="S427" s="15"/>
    </row>
    <row r="428" spans="1:19" x14ac:dyDescent="0.3">
      <c r="A428" s="1" t="e">
        <f>IF(C428="","",MAX($A$2:A427)+1)</f>
        <v>#REF!</v>
      </c>
      <c r="B428" s="17" t="s">
        <v>36</v>
      </c>
      <c r="C428" s="3">
        <v>46098</v>
      </c>
      <c r="D428" s="5" t="str">
        <f>_xlfn.XLOOKUP([1]!Table134526_79101120212223242526[[#This Row],[Name Surname]],[1]Manpower!$C$4:$C$1048576,[1]Manpower!$B$4:$B$1048576,"")</f>
        <v>Encogroup</v>
      </c>
      <c r="E428" s="5" t="s">
        <v>50</v>
      </c>
      <c r="F428" s="4">
        <f>_xlfn.XLOOKUP([1]!Table134526_79101120212223242526[[#This Row],[Name Surname]],[1]Manpower!C:C,[1]Manpower!D:D,)</f>
        <v>141365023</v>
      </c>
      <c r="G428" s="5" t="str">
        <f>_xlfn.XLOOKUP([1]!Table134526_79101120212223242526[[#This Row],[Name Surname]],[1]Manpower!$C$4:$C$1048576,[1]Manpower!$F$4:$F$1048576,"")</f>
        <v>Grinder</v>
      </c>
      <c r="H428" s="5" t="str">
        <f>_xlfn.XLOOKUP([1]!Table134526_79101120212223242526[[#This Row],[Name Surname]],[1]Manpower!$C$4:$C$1048576,[1]Manpower!$H$4:$H$1048576,"")</f>
        <v>Manpower</v>
      </c>
      <c r="I428" s="5" t="str">
        <f>_xlfn.XLOOKUP([1]!Table134526_79101120212223242526[[#This Row],[Name Surname]],[1]Manpower!$C$4:$C$1048576,[1]Manpower!$H$4:$H$1048576,"")</f>
        <v>Manpower</v>
      </c>
      <c r="J428" s="5" t="s">
        <v>38</v>
      </c>
      <c r="K428" s="5" t="s">
        <v>7</v>
      </c>
      <c r="L428" s="5" t="s">
        <v>39</v>
      </c>
      <c r="M428" s="5" t="s">
        <v>5</v>
      </c>
      <c r="N428" s="6">
        <v>10</v>
      </c>
      <c r="O428" s="5"/>
      <c r="P428" s="5"/>
      <c r="Q428" s="5"/>
      <c r="R428" s="5" t="s">
        <v>7</v>
      </c>
      <c r="S428" s="8"/>
    </row>
    <row r="429" spans="1:19" x14ac:dyDescent="0.3">
      <c r="A429" s="9" t="e">
        <f>IF(C429="","",MAX($A$2:A428)+1)</f>
        <v>#REF!</v>
      </c>
      <c r="B429" s="17" t="s">
        <v>36</v>
      </c>
      <c r="C429" s="11">
        <v>46098</v>
      </c>
      <c r="D429" s="13" t="str">
        <f>_xlfn.XLOOKUP([1]!Table134526_79101120212223242526[[#This Row],[Name Surname]],[1]Manpower!$C$4:$C$1048576,[1]Manpower!$B$4:$B$1048576,"")</f>
        <v>AL Omar International TRAD AND CONT</v>
      </c>
      <c r="E429" s="13" t="s">
        <v>111</v>
      </c>
      <c r="F429" s="12">
        <f>_xlfn.XLOOKUP([1]!Table134526_79101120212223242526[[#This Row],[Name Surname]],[1]Manpower!C:C,[1]Manpower!D:D,)</f>
        <v>114929202</v>
      </c>
      <c r="G429" s="13" t="str">
        <f>_xlfn.XLOOKUP([1]!Table134526_79101120212223242526[[#This Row],[Name Surname]],[1]Manpower!$C$4:$C$1048576,[1]Manpower!$F$4:$F$1048576,"")</f>
        <v>RIgger</v>
      </c>
      <c r="H429" s="13" t="str">
        <f>_xlfn.XLOOKUP([1]!Table134526_79101120212223242526[[#This Row],[Name Surname]],[1]Manpower!$C$4:$C$1048576,[1]Manpower!$H$4:$H$1048576,"")</f>
        <v>Sub Contactor</v>
      </c>
      <c r="I429" s="13" t="str">
        <f>_xlfn.XLOOKUP([1]!Table134526_79101120212223242526[[#This Row],[Name Surname]],[1]Manpower!$C$4:$C$1048576,[1]Manpower!$H$4:$H$1048576,"")</f>
        <v>Sub Contactor</v>
      </c>
      <c r="J429" s="13" t="s">
        <v>38</v>
      </c>
      <c r="K429" s="13" t="s">
        <v>7</v>
      </c>
      <c r="L429" s="13" t="s">
        <v>39</v>
      </c>
      <c r="M429" s="13" t="s">
        <v>18</v>
      </c>
      <c r="N429" s="14">
        <v>10</v>
      </c>
      <c r="O429" s="13" t="s">
        <v>35</v>
      </c>
      <c r="P429" s="13" t="s">
        <v>35</v>
      </c>
      <c r="Q429" s="13" t="s">
        <v>35</v>
      </c>
      <c r="R429" s="13" t="s">
        <v>19</v>
      </c>
      <c r="S429" s="15"/>
    </row>
    <row r="430" spans="1:19" x14ac:dyDescent="0.3">
      <c r="A430" s="1" t="e">
        <f>IF(C430="","",MAX($A$2:A429)+1)</f>
        <v>#REF!</v>
      </c>
      <c r="B430" s="17" t="s">
        <v>36</v>
      </c>
      <c r="C430" s="3">
        <v>46098</v>
      </c>
      <c r="D430" s="5" t="str">
        <f>_xlfn.XLOOKUP([1]!Table134526_79101120212223242526[[#This Row],[Name Surname]],[1]Manpower!$C$4:$C$1048576,[1]Manpower!$B$4:$B$1048576,"")</f>
        <v>Encogroup</v>
      </c>
      <c r="E430" s="5" t="s">
        <v>112</v>
      </c>
      <c r="F430" s="4">
        <f>_xlfn.XLOOKUP([1]!Table134526_79101120212223242526[[#This Row],[Name Surname]],[1]Manpower!C:C,[1]Manpower!D:D,)</f>
        <v>140742088</v>
      </c>
      <c r="G430" s="5" t="str">
        <f>_xlfn.XLOOKUP([1]!Table134526_79101120212223242526[[#This Row],[Name Surname]],[1]Manpower!$C$4:$C$1048576,[1]Manpower!$F$4:$F$1048576,"")</f>
        <v>Fitter/Erector</v>
      </c>
      <c r="H430" s="5" t="str">
        <f>_xlfn.XLOOKUP([1]!Table134526_79101120212223242526[[#This Row],[Name Surname]],[1]Manpower!$C$4:$C$1048576,[1]Manpower!$H$4:$H$1048576,"")</f>
        <v>Manpower</v>
      </c>
      <c r="I430" s="5" t="str">
        <f>_xlfn.XLOOKUP([1]!Table134526_79101120212223242526[[#This Row],[Name Surname]],[1]Manpower!$C$4:$C$1048576,[1]Manpower!$H$4:$H$1048576,"")</f>
        <v>Manpower</v>
      </c>
      <c r="J430" s="5" t="s">
        <v>38</v>
      </c>
      <c r="K430" s="5" t="s">
        <v>7</v>
      </c>
      <c r="L430" s="5" t="s">
        <v>39</v>
      </c>
      <c r="M430" s="5" t="s">
        <v>18</v>
      </c>
      <c r="N430" s="6">
        <v>10</v>
      </c>
      <c r="O430" s="5" t="s">
        <v>35</v>
      </c>
      <c r="P430" s="5" t="s">
        <v>35</v>
      </c>
      <c r="Q430" s="5" t="s">
        <v>35</v>
      </c>
      <c r="R430" s="5" t="s">
        <v>19</v>
      </c>
      <c r="S430" s="8"/>
    </row>
    <row r="431" spans="1:19" x14ac:dyDescent="0.3">
      <c r="A431" s="9" t="e">
        <f>IF(C431="","",MAX($A$2:A430)+1)</f>
        <v>#REF!</v>
      </c>
      <c r="B431" s="17" t="s">
        <v>36</v>
      </c>
      <c r="C431" s="11">
        <v>46098</v>
      </c>
      <c r="D431" s="13" t="str">
        <f>_xlfn.XLOOKUP([1]!Table134526_79101120212223242526[[#This Row],[Name Surname]],[1]Manpower!$C$4:$C$1048576,[1]Manpower!$B$4:$B$1048576,"")</f>
        <v>Rial Al Khaleej</v>
      </c>
      <c r="E431" s="11" t="s">
        <v>51</v>
      </c>
      <c r="F431" s="12">
        <f>_xlfn.XLOOKUP([1]!Table134526_79101120212223242526[[#This Row],[Name Surname]],[1]Manpower!C:C,[1]Manpower!D:D,)</f>
        <v>98845403</v>
      </c>
      <c r="G431" s="13" t="str">
        <f>_xlfn.XLOOKUP([1]!Table134526_79101120212223242526[[#This Row],[Name Surname]],[1]Manpower!$C$4:$C$1048576,[1]Manpower!$F$4:$F$1048576,"")</f>
        <v>Crane Operator-100T Zoomlion Telescopic</v>
      </c>
      <c r="H431" s="13" t="str">
        <f>_xlfn.XLOOKUP([1]!Table134526_79101120212223242526[[#This Row],[Name Surname]],[1]Manpower!$C$4:$C$1048576,[1]Manpower!$H$4:$H$1048576,"")</f>
        <v>Manpower</v>
      </c>
      <c r="I431" s="13" t="str">
        <f>_xlfn.XLOOKUP([1]!Table134526_79101120212223242526[[#This Row],[Name Surname]],[1]Manpower!$C$4:$C$1048576,[1]Manpower!$H$4:$H$1048576,"")</f>
        <v>Manpower</v>
      </c>
      <c r="J431" s="13" t="s">
        <v>38</v>
      </c>
      <c r="K431" s="13" t="s">
        <v>7</v>
      </c>
      <c r="L431" s="13" t="s">
        <v>39</v>
      </c>
      <c r="M431" s="13" t="s">
        <v>18</v>
      </c>
      <c r="N431" s="14">
        <v>10</v>
      </c>
      <c r="O431" s="13"/>
      <c r="P431" s="13"/>
      <c r="Q431" s="13"/>
      <c r="R431" s="13" t="s">
        <v>19</v>
      </c>
      <c r="S431" s="15"/>
    </row>
    <row r="432" spans="1:19" x14ac:dyDescent="0.3">
      <c r="A432" s="1" t="e">
        <f>IF(C432="","",MAX($A$2:A431)+1)</f>
        <v>#REF!</v>
      </c>
      <c r="B432" s="17" t="s">
        <v>36</v>
      </c>
      <c r="C432" s="3">
        <v>46098</v>
      </c>
      <c r="D432" s="5" t="str">
        <f>_xlfn.XLOOKUP([1]!Table134526_79101120212223242526[[#This Row],[Name Surname]],[1]Manpower!$C$4:$C$1048576,[1]Manpower!$B$4:$B$1048576,"")</f>
        <v>Encogroup</v>
      </c>
      <c r="E432" s="3" t="s">
        <v>52</v>
      </c>
      <c r="F432" s="4">
        <f>_xlfn.XLOOKUP([1]!Table134526_79101120212223242526[[#This Row],[Name Surname]],[1]Manpower!C:C,[1]Manpower!D:D,)</f>
        <v>140806218</v>
      </c>
      <c r="G432" s="5" t="str">
        <f>_xlfn.XLOOKUP([1]!Table134526_79101120212223242526[[#This Row],[Name Surname]],[1]Manpower!$C$4:$C$1048576,[1]Manpower!$F$4:$F$1048576,"")</f>
        <v>Fitter/Erector</v>
      </c>
      <c r="H432" s="5" t="str">
        <f>_xlfn.XLOOKUP([1]!Table134526_79101120212223242526[[#This Row],[Name Surname]],[1]Manpower!$C$4:$C$1048576,[1]Manpower!$H$4:$H$1048576,"")</f>
        <v>Manpower</v>
      </c>
      <c r="I432" s="5" t="str">
        <f>_xlfn.XLOOKUP([1]!Table134526_79101120212223242526[[#This Row],[Name Surname]],[1]Manpower!$C$4:$C$1048576,[1]Manpower!$H$4:$H$1048576,"")</f>
        <v>Manpower</v>
      </c>
      <c r="J432" s="5" t="s">
        <v>38</v>
      </c>
      <c r="K432" s="5" t="s">
        <v>7</v>
      </c>
      <c r="L432" s="5" t="s">
        <v>39</v>
      </c>
      <c r="M432" s="5" t="s">
        <v>5</v>
      </c>
      <c r="N432" s="6">
        <v>10</v>
      </c>
      <c r="O432" s="5" t="s">
        <v>33</v>
      </c>
      <c r="P432" s="5" t="s">
        <v>33</v>
      </c>
      <c r="Q432" s="5" t="s">
        <v>33</v>
      </c>
      <c r="R432" s="5" t="s">
        <v>7</v>
      </c>
      <c r="S432" s="8"/>
    </row>
    <row r="433" spans="1:19" x14ac:dyDescent="0.3">
      <c r="A433" s="24" t="e">
        <f>IF(C433="","",MAX($A$2:A432)+1)</f>
        <v>#REF!</v>
      </c>
      <c r="B433" s="10" t="s">
        <v>36</v>
      </c>
      <c r="C433" s="25">
        <v>46098</v>
      </c>
      <c r="D433" s="22" t="str">
        <f>_xlfn.XLOOKUP([1]!Table134526_79101120212223242526[[#This Row],[Name Surname]],[1]Manpower!$C$4:$C$1048576,[1]Manpower!$B$4:$B$1048576,"")</f>
        <v>Encogroup</v>
      </c>
      <c r="E433" s="22" t="s">
        <v>113</v>
      </c>
      <c r="F433" s="12">
        <f>_xlfn.XLOOKUP([1]!Table134526_79101120212223242526[[#This Row],[Name Surname]],[1]Manpower!C:C,[1]Manpower!D:D,)</f>
        <v>140844618</v>
      </c>
      <c r="G433" s="22" t="str">
        <f>_xlfn.XLOOKUP([1]!Table134526_79101120212223242526[[#This Row],[Name Surname]],[1]Manpower!$C$4:$C$1048576,[1]Manpower!$F$4:$F$1048576,"")</f>
        <v>Assistant/Helper</v>
      </c>
      <c r="H433" s="22" t="str">
        <f>_xlfn.XLOOKUP([1]!Table134526_79101120212223242526[[#This Row],[Name Surname]],[1]Manpower!$C$4:$C$1048576,[1]Manpower!$H$4:$H$1048576,"")</f>
        <v>Manpower</v>
      </c>
      <c r="I433" s="22" t="str">
        <f>_xlfn.XLOOKUP([1]!Table134526_79101120212223242526[[#This Row],[Name Surname]],[1]Manpower!$C$4:$C$1048576,[1]Manpower!$H$4:$H$1048576,"")</f>
        <v>Manpower</v>
      </c>
      <c r="J433" s="22" t="s">
        <v>38</v>
      </c>
      <c r="K433" s="22" t="s">
        <v>7</v>
      </c>
      <c r="L433" s="22" t="s">
        <v>39</v>
      </c>
      <c r="M433" s="22" t="s">
        <v>5</v>
      </c>
      <c r="N433" s="26">
        <v>8</v>
      </c>
      <c r="O433" s="22" t="s">
        <v>11</v>
      </c>
      <c r="P433" s="22" t="s">
        <v>13</v>
      </c>
      <c r="Q433" s="22" t="s">
        <v>13</v>
      </c>
      <c r="R433" s="22" t="s">
        <v>110</v>
      </c>
      <c r="S433" s="27"/>
    </row>
    <row r="434" spans="1:19" x14ac:dyDescent="0.3">
      <c r="A434" s="1" t="e">
        <f>IF(C434="","",MAX($A$2:A433)+1)</f>
        <v>#REF!</v>
      </c>
      <c r="B434" s="17" t="s">
        <v>36</v>
      </c>
      <c r="C434" s="3">
        <v>46098</v>
      </c>
      <c r="D434" s="5" t="str">
        <f>_xlfn.XLOOKUP([1]!Table134526_79101120212223242526[[#This Row],[Name Surname]],[1]Manpower!$C$4:$C$1048576,[1]Manpower!$B$4:$B$1048576,"")</f>
        <v>Bright Light</v>
      </c>
      <c r="E434" s="5" t="s">
        <v>53</v>
      </c>
      <c r="F434" s="4" t="e">
        <f>_xlfn.XLOOKUP([1]!Table134526_79101120212223242526[[#This Row],[Name Surname]],[1]Manpower!C:C,[1]Manpower!D:D,)</f>
        <v>#N/A</v>
      </c>
      <c r="G434" s="5" t="str">
        <f>_xlfn.XLOOKUP([1]!Table134526_79101120212223242526[[#This Row],[Name Surname]],[1]Manpower!$C$4:$C$1048576,[1]Manpower!$F$4:$F$1048576,"")</f>
        <v>100T Telescopic Crane</v>
      </c>
      <c r="H434" s="5" t="str">
        <f>_xlfn.XLOOKUP([1]!Table134526_79101120212223242526[[#This Row],[Name Surname]],[1]Manpower!$C$4:$C$1048576,[1]Manpower!$H$4:$H$1048576,"")</f>
        <v>Equipment</v>
      </c>
      <c r="I434" s="5" t="str">
        <f>_xlfn.XLOOKUP([1]!Table134526_79101120212223242526[[#This Row],[Name Surname]],[1]Manpower!$C$4:$C$1048576,[1]Manpower!$H$4:$H$1048576,"")</f>
        <v>Equipment</v>
      </c>
      <c r="J434" s="5" t="s">
        <v>38</v>
      </c>
      <c r="K434" s="5" t="s">
        <v>7</v>
      </c>
      <c r="L434" s="5" t="s">
        <v>39</v>
      </c>
      <c r="M434" s="5" t="s">
        <v>5</v>
      </c>
      <c r="N434" s="6">
        <v>10</v>
      </c>
      <c r="O434" s="5" t="s">
        <v>33</v>
      </c>
      <c r="P434" s="5" t="s">
        <v>33</v>
      </c>
      <c r="Q434" s="5" t="s">
        <v>33</v>
      </c>
      <c r="R434" s="5" t="s">
        <v>7</v>
      </c>
      <c r="S434" s="8"/>
    </row>
    <row r="435" spans="1:19" x14ac:dyDescent="0.3">
      <c r="A435" s="9" t="e">
        <f>IF(C435="","",MAX($A$2:A434)+1)</f>
        <v>#REF!</v>
      </c>
      <c r="B435" s="17" t="s">
        <v>36</v>
      </c>
      <c r="C435" s="11">
        <v>46098</v>
      </c>
      <c r="D435" s="13" t="str">
        <f>_xlfn.XLOOKUP([1]!Table134526_79101120212223242526[[#This Row],[Name Surname]],[1]Manpower!$C$4:$C$1048576,[1]Manpower!$B$4:$B$1048576,"")</f>
        <v>Bright Light</v>
      </c>
      <c r="E435" s="13" t="s">
        <v>54</v>
      </c>
      <c r="F435" s="12" t="e">
        <f>_xlfn.XLOOKUP([1]!Table134526_79101120212223242526[[#This Row],[Name Surname]],[1]Manpower!C:C,[1]Manpower!D:D,)</f>
        <v>#N/A</v>
      </c>
      <c r="G435" s="13" t="str">
        <f>_xlfn.XLOOKUP([1]!Table134526_79101120212223242526[[#This Row],[Name Surname]],[1]Manpower!$C$4:$C$1048576,[1]Manpower!$F$4:$F$1048576,"")</f>
        <v>150T-Crawler Crane</v>
      </c>
      <c r="H435" s="13" t="str">
        <f>_xlfn.XLOOKUP([1]!Table134526_79101120212223242526[[#This Row],[Name Surname]],[1]Manpower!$C$4:$C$1048576,[1]Manpower!$H$4:$H$1048576,"")</f>
        <v>Equipment</v>
      </c>
      <c r="I435" s="13" t="str">
        <f>_xlfn.XLOOKUP([1]!Table134526_79101120212223242526[[#This Row],[Name Surname]],[1]Manpower!$C$4:$C$1048576,[1]Manpower!$H$4:$H$1048576,"")</f>
        <v>Equipment</v>
      </c>
      <c r="J435" s="13" t="s">
        <v>38</v>
      </c>
      <c r="K435" s="13" t="s">
        <v>7</v>
      </c>
      <c r="L435" s="13" t="s">
        <v>39</v>
      </c>
      <c r="M435" s="13" t="s">
        <v>5</v>
      </c>
      <c r="N435" s="14">
        <v>10</v>
      </c>
      <c r="O435" s="13" t="s">
        <v>33</v>
      </c>
      <c r="P435" s="13" t="s">
        <v>33</v>
      </c>
      <c r="Q435" s="13" t="s">
        <v>33</v>
      </c>
      <c r="R435" s="13" t="s">
        <v>7</v>
      </c>
      <c r="S435" s="15"/>
    </row>
    <row r="436" spans="1:19" x14ac:dyDescent="0.3">
      <c r="A436" s="1" t="e">
        <f>IF(C436="","",MAX($A$2:A435)+1)</f>
        <v>#REF!</v>
      </c>
      <c r="B436" s="17" t="s">
        <v>36</v>
      </c>
      <c r="C436" s="3">
        <v>46098</v>
      </c>
      <c r="D436" s="5" t="str">
        <f>_xlfn.XLOOKUP([1]!Table134526_79101120212223242526[[#This Row],[Name Surname]],[1]Manpower!$C$4:$C$1048576,[1]Manpower!$B$4:$B$1048576,"")</f>
        <v>Encogroup</v>
      </c>
      <c r="E436" s="5" t="s">
        <v>55</v>
      </c>
      <c r="F436" s="4" t="e">
        <f>_xlfn.XLOOKUP([1]!Table134526_79101120212223242526[[#This Row],[Name Surname]],[1]Manpower!C:C,[1]Manpower!D:D,)</f>
        <v>#N/A</v>
      </c>
      <c r="G436" s="5" t="str">
        <f>_xlfn.XLOOKUP([1]!Table134526_79101120212223242526[[#This Row],[Name Surname]],[1]Manpower!$C$4:$C$1048576,[1]Manpower!$F$4:$F$1048576,"")</f>
        <v>22M-Manlift</v>
      </c>
      <c r="H436" s="5" t="str">
        <f>_xlfn.XLOOKUP([1]!Table134526_79101120212223242526[[#This Row],[Name Surname]],[1]Manpower!$C$4:$C$1048576,[1]Manpower!$H$4:$H$1048576,"")</f>
        <v>Equipment</v>
      </c>
      <c r="I436" s="5" t="str">
        <f>_xlfn.XLOOKUP([1]!Table134526_79101120212223242526[[#This Row],[Name Surname]],[1]Manpower!$C$4:$C$1048576,[1]Manpower!$H$4:$H$1048576,"")</f>
        <v>Equipment</v>
      </c>
      <c r="J436" s="5" t="s">
        <v>38</v>
      </c>
      <c r="K436" s="5" t="s">
        <v>7</v>
      </c>
      <c r="L436" s="5" t="s">
        <v>39</v>
      </c>
      <c r="M436" s="5" t="s">
        <v>5</v>
      </c>
      <c r="N436" s="6">
        <v>10</v>
      </c>
      <c r="O436" s="5" t="s">
        <v>33</v>
      </c>
      <c r="P436" s="5" t="s">
        <v>33</v>
      </c>
      <c r="Q436" s="5" t="s">
        <v>33</v>
      </c>
      <c r="R436" s="5" t="s">
        <v>7</v>
      </c>
      <c r="S436" s="8"/>
    </row>
    <row r="437" spans="1:19" x14ac:dyDescent="0.3">
      <c r="A437" s="9" t="e">
        <f>IF(C437="","",MAX($A$2:A436)+1)</f>
        <v>#REF!</v>
      </c>
      <c r="B437" s="17" t="s">
        <v>36</v>
      </c>
      <c r="C437" s="11">
        <v>46098</v>
      </c>
      <c r="D437" s="13" t="str">
        <f>_xlfn.XLOOKUP([1]!Table134526_79101120212223242526[[#This Row],[Name Surname]],[1]Manpower!$C$4:$C$1048576,[1]Manpower!$B$4:$B$1048576,"")</f>
        <v>Encogroup</v>
      </c>
      <c r="E437" s="13" t="s">
        <v>56</v>
      </c>
      <c r="F437" s="12" t="e">
        <f>_xlfn.XLOOKUP([1]!Table134526_79101120212223242526[[#This Row],[Name Surname]],[1]Manpower!C:C,[1]Manpower!D:D,)</f>
        <v>#N/A</v>
      </c>
      <c r="G437" s="13" t="str">
        <f>_xlfn.XLOOKUP([1]!Table134526_79101120212223242526[[#This Row],[Name Surname]],[1]Manpower!$C$4:$C$1048576,[1]Manpower!$F$4:$F$1048576,"")</f>
        <v>28M-Manlift</v>
      </c>
      <c r="H437" s="13" t="str">
        <f>_xlfn.XLOOKUP([1]!Table134526_79101120212223242526[[#This Row],[Name Surname]],[1]Manpower!$C$4:$C$1048576,[1]Manpower!$H$4:$H$1048576,"")</f>
        <v>Equipment</v>
      </c>
      <c r="I437" s="13" t="str">
        <f>_xlfn.XLOOKUP([1]!Table134526_79101120212223242526[[#This Row],[Name Surname]],[1]Manpower!$C$4:$C$1048576,[1]Manpower!$H$4:$H$1048576,"")</f>
        <v>Equipment</v>
      </c>
      <c r="J437" s="13" t="s">
        <v>38</v>
      </c>
      <c r="K437" s="13" t="s">
        <v>7</v>
      </c>
      <c r="L437" s="13" t="s">
        <v>39</v>
      </c>
      <c r="M437" s="13" t="s">
        <v>5</v>
      </c>
      <c r="N437" s="14">
        <v>10</v>
      </c>
      <c r="O437" s="13" t="s">
        <v>33</v>
      </c>
      <c r="P437" s="13" t="s">
        <v>33</v>
      </c>
      <c r="Q437" s="13" t="s">
        <v>33</v>
      </c>
      <c r="R437" s="13" t="s">
        <v>7</v>
      </c>
      <c r="S437" s="15"/>
    </row>
    <row r="438" spans="1:19" x14ac:dyDescent="0.3">
      <c r="A438" s="1" t="e">
        <f>IF(C438="","",MAX($A$2:A437)+1)</f>
        <v>#REF!</v>
      </c>
      <c r="B438" s="17" t="s">
        <v>36</v>
      </c>
      <c r="C438" s="3">
        <v>46098</v>
      </c>
      <c r="D438" s="5" t="str">
        <f>_xlfn.XLOOKUP([1]!Table134526_79101120212223242526[[#This Row],[Name Surname]],[1]Manpower!$C$4:$C$1048576,[1]Manpower!$B$4:$B$1048576,"")</f>
        <v>Encogroup</v>
      </c>
      <c r="E438" s="5" t="s">
        <v>57</v>
      </c>
      <c r="F438" s="4">
        <f>_xlfn.XLOOKUP([1]!Table134526_79101120212223242526[[#This Row],[Name Surname]],[1]Manpower!C:C,[1]Manpower!D:D,)</f>
        <v>140693697</v>
      </c>
      <c r="G438" s="5" t="str">
        <f>_xlfn.XLOOKUP([1]!Table134526_79101120212223242526[[#This Row],[Name Surname]],[1]Manpower!$C$4:$C$1048576,[1]Manpower!$F$4:$F$1048576,"")</f>
        <v>HSE Officer</v>
      </c>
      <c r="H438" s="5" t="str">
        <f>_xlfn.XLOOKUP([1]!Table134526_79101120212223242526[[#This Row],[Name Surname]],[1]Manpower!$C$4:$C$1048576,[1]Manpower!$H$4:$H$1048576,"")</f>
        <v>Manpower</v>
      </c>
      <c r="I438" s="5" t="str">
        <f>_xlfn.XLOOKUP([1]!Table134526_79101120212223242526[[#This Row],[Name Surname]],[1]Manpower!$C$4:$C$1048576,[1]Manpower!$H$4:$H$1048576,"")</f>
        <v>Manpower</v>
      </c>
      <c r="J438" s="5" t="s">
        <v>38</v>
      </c>
      <c r="K438" s="5" t="s">
        <v>7</v>
      </c>
      <c r="L438" s="5" t="s">
        <v>39</v>
      </c>
      <c r="M438" s="5" t="s">
        <v>5</v>
      </c>
      <c r="N438" s="6">
        <v>8</v>
      </c>
      <c r="O438" s="5" t="s">
        <v>11</v>
      </c>
      <c r="P438" s="5" t="s">
        <v>13</v>
      </c>
      <c r="Q438" s="5" t="s">
        <v>13</v>
      </c>
      <c r="R438" s="5" t="s">
        <v>7</v>
      </c>
      <c r="S438" s="8"/>
    </row>
    <row r="439" spans="1:19" x14ac:dyDescent="0.3">
      <c r="A439" s="9" t="e">
        <f>IF(C439="","",MAX($A$2:A438)+1)</f>
        <v>#REF!</v>
      </c>
      <c r="B439" s="17" t="s">
        <v>36</v>
      </c>
      <c r="C439" s="11">
        <v>46098</v>
      </c>
      <c r="D439" s="13" t="str">
        <f>_xlfn.XLOOKUP([1]!Table134526_79101120212223242526[[#This Row],[Name Surname]],[1]Manpower!$C$4:$C$1048576,[1]Manpower!$B$4:$B$1048576,"")</f>
        <v>Encogroup</v>
      </c>
      <c r="E439" s="11" t="s">
        <v>58</v>
      </c>
      <c r="F439" s="12">
        <f>_xlfn.XLOOKUP([1]!Table134526_79101120212223242526[[#This Row],[Name Surname]],[1]Manpower!C:C,[1]Manpower!D:D,)</f>
        <v>127414586</v>
      </c>
      <c r="G439" s="13" t="str">
        <f>_xlfn.XLOOKUP([1]!Table134526_79101120212223242526[[#This Row],[Name Surname]],[1]Manpower!$C$4:$C$1048576,[1]Manpower!$F$4:$F$1048576,"")</f>
        <v>Electrician</v>
      </c>
      <c r="H439" s="13" t="str">
        <f>_xlfn.XLOOKUP([1]!Table134526_79101120212223242526[[#This Row],[Name Surname]],[1]Manpower!$C$4:$C$1048576,[1]Manpower!$H$4:$H$1048576,"")</f>
        <v>Manpower</v>
      </c>
      <c r="I439" s="13" t="str">
        <f>_xlfn.XLOOKUP([1]!Table134526_79101120212223242526[[#This Row],[Name Surname]],[1]Manpower!$C$4:$C$1048576,[1]Manpower!$H$4:$H$1048576,"")</f>
        <v>Manpower</v>
      </c>
      <c r="J439" s="13" t="s">
        <v>38</v>
      </c>
      <c r="K439" s="13" t="s">
        <v>7</v>
      </c>
      <c r="L439" s="13" t="s">
        <v>39</v>
      </c>
      <c r="M439" s="13" t="s">
        <v>18</v>
      </c>
      <c r="N439" s="14">
        <v>10</v>
      </c>
      <c r="O439" s="13"/>
      <c r="P439" s="13"/>
      <c r="Q439" s="13"/>
      <c r="R439" s="13" t="s">
        <v>19</v>
      </c>
      <c r="S439" s="15"/>
    </row>
    <row r="440" spans="1:19" x14ac:dyDescent="0.3">
      <c r="A440" s="1" t="e">
        <f>IF(C440="","",MAX($A$2:A439)+1)</f>
        <v>#REF!</v>
      </c>
      <c r="B440" s="17" t="s">
        <v>36</v>
      </c>
      <c r="C440" s="3">
        <v>46098</v>
      </c>
      <c r="D440" s="5" t="str">
        <f>_xlfn.XLOOKUP([1]!Table134526_79101120212223242526[[#This Row],[Name Surname]],[1]Manpower!$C$4:$C$1048576,[1]Manpower!$B$4:$B$1048576,"")</f>
        <v>Encogroup</v>
      </c>
      <c r="E440" s="3" t="s">
        <v>59</v>
      </c>
      <c r="F440" s="4">
        <f>_xlfn.XLOOKUP([1]!Table134526_79101120212223242526[[#This Row],[Name Surname]],[1]Manpower!C:C,[1]Manpower!D:D,)</f>
        <v>141169085</v>
      </c>
      <c r="G440" s="5" t="str">
        <f>_xlfn.XLOOKUP([1]!Table134526_79101120212223242526[[#This Row],[Name Surname]],[1]Manpower!$C$4:$C$1048576,[1]Manpower!$F$4:$F$1048576,"")</f>
        <v>Welder</v>
      </c>
      <c r="H440" s="5" t="str">
        <f>_xlfn.XLOOKUP([1]!Table134526_79101120212223242526[[#This Row],[Name Surname]],[1]Manpower!$C$4:$C$1048576,[1]Manpower!$H$4:$H$1048576,"")</f>
        <v>Manpower</v>
      </c>
      <c r="I440" s="5" t="str">
        <f>_xlfn.XLOOKUP([1]!Table134526_79101120212223242526[[#This Row],[Name Surname]],[1]Manpower!$C$4:$C$1048576,[1]Manpower!$H$4:$H$1048576,"")</f>
        <v>Manpower</v>
      </c>
      <c r="J440" s="5" t="s">
        <v>38</v>
      </c>
      <c r="K440" s="5" t="s">
        <v>7</v>
      </c>
      <c r="L440" s="5" t="s">
        <v>39</v>
      </c>
      <c r="M440" s="5" t="s">
        <v>18</v>
      </c>
      <c r="N440" s="6">
        <v>10</v>
      </c>
      <c r="O440" s="5"/>
      <c r="P440" s="5"/>
      <c r="Q440" s="5"/>
      <c r="R440" s="5" t="s">
        <v>19</v>
      </c>
      <c r="S440" s="8"/>
    </row>
    <row r="441" spans="1:19" x14ac:dyDescent="0.3">
      <c r="A441" s="24" t="e">
        <f>IF(C441="","",MAX($A$2:A440)+1)</f>
        <v>#REF!</v>
      </c>
      <c r="B441" s="10" t="s">
        <v>36</v>
      </c>
      <c r="C441" s="25">
        <v>46098</v>
      </c>
      <c r="D441" s="22" t="str">
        <f>_xlfn.XLOOKUP([1]!Table134526_79101120212223242526[[#This Row],[Name Surname]],[1]Manpower!$C$4:$C$1048576,[1]Manpower!$B$4:$B$1048576,"")</f>
        <v>Encogroup</v>
      </c>
      <c r="E441" s="22" t="s">
        <v>113</v>
      </c>
      <c r="F441" s="12">
        <f>_xlfn.XLOOKUP([1]!Table134526_79101120212223242526[[#This Row],[Name Surname]],[1]Manpower!C:C,[1]Manpower!D:D,)</f>
        <v>141169047</v>
      </c>
      <c r="G441" s="22" t="str">
        <f>_xlfn.XLOOKUP([1]!Table134526_79101120212223242526[[#This Row],[Name Surname]],[1]Manpower!$C$4:$C$1048576,[1]Manpower!$F$4:$F$1048576,"")</f>
        <v>Welder</v>
      </c>
      <c r="H441" s="22" t="str">
        <f>_xlfn.XLOOKUP([1]!Table134526_79101120212223242526[[#This Row],[Name Surname]],[1]Manpower!$C$4:$C$1048576,[1]Manpower!$H$4:$H$1048576,"")</f>
        <v>Manpower</v>
      </c>
      <c r="I441" s="22" t="str">
        <f>_xlfn.XLOOKUP([1]!Table134526_79101120212223242526[[#This Row],[Name Surname]],[1]Manpower!$C$4:$C$1048576,[1]Manpower!$H$4:$H$1048576,"")</f>
        <v>Manpower</v>
      </c>
      <c r="J441" s="22" t="s">
        <v>114</v>
      </c>
      <c r="K441" s="22" t="s">
        <v>7</v>
      </c>
      <c r="L441" s="22" t="s">
        <v>7</v>
      </c>
      <c r="M441" s="22" t="s">
        <v>5</v>
      </c>
      <c r="N441" s="26">
        <v>10</v>
      </c>
      <c r="O441" s="22" t="s">
        <v>11</v>
      </c>
      <c r="P441" s="22" t="s">
        <v>13</v>
      </c>
      <c r="Q441" s="22" t="s">
        <v>13</v>
      </c>
      <c r="R441" s="22" t="s">
        <v>115</v>
      </c>
      <c r="S441" s="27"/>
    </row>
    <row r="442" spans="1:19" x14ac:dyDescent="0.3">
      <c r="A442" s="1" t="e">
        <f>IF(C442="","",MAX($A$2:A441)+1)</f>
        <v>#REF!</v>
      </c>
      <c r="B442" s="2" t="s">
        <v>0</v>
      </c>
      <c r="C442" s="3">
        <v>46099</v>
      </c>
      <c r="D442" s="5" t="str">
        <f>_xlfn.XLOOKUP([1]!Table134526_79101120212223242526[[#This Row],[Name Surname]],[1]Manpower!$C$4:$C$1048576,[1]Manpower!$B$4:$B$1048576,"")</f>
        <v>Encogroup</v>
      </c>
      <c r="E442" s="5" t="s">
        <v>1</v>
      </c>
      <c r="F442" s="4">
        <f>_xlfn.XLOOKUP([1]!Table134526_79101120212223242526[[#This Row],[Name Surname]],[1]Manpower!C:C,[1]Manpower!D:D,)</f>
        <v>140844797</v>
      </c>
      <c r="G442" s="5" t="str">
        <f>_xlfn.XLOOKUP([1]!Table134526_79101120212223242526[[#This Row],[Name Surname]],[1]Manpower!$C$4:$C$1048576,[1]Manpower!$F$4:$F$1048576,"")</f>
        <v>Fitter/Erector</v>
      </c>
      <c r="H442" s="5" t="str">
        <f>_xlfn.XLOOKUP([1]!Table134526_79101120212223242526[[#This Row],[Name Surname]],[1]Manpower!$C$4:$C$1048576,[1]Manpower!$H$4:$H$1048576,"")</f>
        <v>Manpower</v>
      </c>
      <c r="I442" s="5" t="str">
        <f>_xlfn.XLOOKUP([1]!Table134526_79101120212223242526[[#This Row],[Name Surname]],[1]Manpower!$C$4:$C$1048576,[1]Manpower!$H$4:$H$1048576,"")</f>
        <v>Manpower</v>
      </c>
      <c r="J442" s="5" t="s">
        <v>2</v>
      </c>
      <c r="K442" s="5" t="s">
        <v>7</v>
      </c>
      <c r="L442" s="5" t="s">
        <v>10</v>
      </c>
      <c r="M442" s="5" t="s">
        <v>5</v>
      </c>
      <c r="N442" s="6">
        <v>8</v>
      </c>
      <c r="O442" s="5" t="s">
        <v>6</v>
      </c>
      <c r="P442" s="5" t="s">
        <v>12</v>
      </c>
      <c r="Q442" s="5" t="s">
        <v>29</v>
      </c>
      <c r="R442" s="5" t="s">
        <v>116</v>
      </c>
      <c r="S442" s="8"/>
    </row>
    <row r="443" spans="1:19" x14ac:dyDescent="0.3">
      <c r="A443" s="9" t="e">
        <f>IF(C443="","",MAX($A$2:A442)+1)</f>
        <v>#REF!</v>
      </c>
      <c r="B443" s="10" t="s">
        <v>0</v>
      </c>
      <c r="C443" s="11">
        <v>46099</v>
      </c>
      <c r="D443" s="13" t="str">
        <f>_xlfn.XLOOKUP([1]!Table134526_79101120212223242526[[#This Row],[Name Surname]],[1]Manpower!$C$4:$C$1048576,[1]Manpower!$B$4:$B$1048576,"")</f>
        <v>Encogroup</v>
      </c>
      <c r="E443" s="11" t="s">
        <v>61</v>
      </c>
      <c r="F443" s="12" t="e">
        <f>_xlfn.XLOOKUP([1]!Table134526_79101120212223242526[[#This Row],[Name Surname]],[1]Manpower!C:C,[1]Manpower!D:D,)</f>
        <v>#N/A</v>
      </c>
      <c r="G443" s="13" t="str">
        <f>_xlfn.XLOOKUP([1]!Table134526_79101120212223242526[[#This Row],[Name Surname]],[1]Manpower!$C$4:$C$1048576,[1]Manpower!$F$4:$F$1048576,"")</f>
        <v>22KVA-Generator</v>
      </c>
      <c r="H443" s="13" t="str">
        <f>_xlfn.XLOOKUP([1]!Table134526_79101120212223242526[[#This Row],[Name Surname]],[1]Manpower!$C$4:$C$1048576,[1]Manpower!$H$4:$H$1048576,"")</f>
        <v>Equipment</v>
      </c>
      <c r="I443" s="13" t="str">
        <f>_xlfn.XLOOKUP([1]!Table134526_79101120212223242526[[#This Row],[Name Surname]],[1]Manpower!$C$4:$C$1048576,[1]Manpower!$H$4:$H$1048576,"")</f>
        <v>Equipment</v>
      </c>
      <c r="J443" s="13" t="s">
        <v>9</v>
      </c>
      <c r="K443" s="13" t="s">
        <v>7</v>
      </c>
      <c r="L443" s="13" t="s">
        <v>10</v>
      </c>
      <c r="M443" s="13" t="s">
        <v>5</v>
      </c>
      <c r="N443" s="14">
        <v>10</v>
      </c>
      <c r="O443" s="13" t="s">
        <v>11</v>
      </c>
      <c r="P443" s="13" t="s">
        <v>12</v>
      </c>
      <c r="Q443" s="13" t="s">
        <v>13</v>
      </c>
      <c r="R443" s="13" t="s">
        <v>117</v>
      </c>
      <c r="S443" s="15"/>
    </row>
    <row r="444" spans="1:19" x14ac:dyDescent="0.3">
      <c r="A444" s="1" t="e">
        <f>IF(C444="","",MAX($A$2:A443)+1)</f>
        <v>#REF!</v>
      </c>
      <c r="B444" s="10" t="s">
        <v>0</v>
      </c>
      <c r="C444" s="3">
        <v>46099</v>
      </c>
      <c r="D444" s="5" t="str">
        <f>_xlfn.XLOOKUP([1]!Table134526_79101120212223242526[[#This Row],[Name Surname]],[1]Manpower!$C$4:$C$1048576,[1]Manpower!$B$4:$B$1048576,"")</f>
        <v>Bright Light</v>
      </c>
      <c r="E444" s="5" t="s">
        <v>8</v>
      </c>
      <c r="F444" s="4">
        <f>_xlfn.XLOOKUP([1]!Table134526_79101120212223242526[[#This Row],[Name Surname]],[1]Manpower!C:C,[1]Manpower!D:D,)</f>
        <v>114531608</v>
      </c>
      <c r="G444" s="5" t="str">
        <f>_xlfn.XLOOKUP([1]!Table134526_79101120212223242526[[#This Row],[Name Surname]],[1]Manpower!$C$4:$C$1048576,[1]Manpower!$F$4:$F$1048576,"")</f>
        <v>Crane Operator-150T Sany Crawler</v>
      </c>
      <c r="H444" s="5" t="str">
        <f>_xlfn.XLOOKUP([1]!Table134526_79101120212223242526[[#This Row],[Name Surname]],[1]Manpower!$C$4:$C$1048576,[1]Manpower!$H$4:$H$1048576,"")</f>
        <v>Manpower</v>
      </c>
      <c r="I444" s="5" t="str">
        <f>_xlfn.XLOOKUP([1]!Table134526_79101120212223242526[[#This Row],[Name Surname]],[1]Manpower!$C$4:$C$1048576,[1]Manpower!$H$4:$H$1048576,"")</f>
        <v>Manpower</v>
      </c>
      <c r="J444" s="5" t="s">
        <v>9</v>
      </c>
      <c r="K444" s="5" t="s">
        <v>7</v>
      </c>
      <c r="L444" s="5" t="s">
        <v>10</v>
      </c>
      <c r="M444" s="5" t="s">
        <v>5</v>
      </c>
      <c r="N444" s="6">
        <v>10</v>
      </c>
      <c r="O444" s="5" t="s">
        <v>11</v>
      </c>
      <c r="P444" s="5" t="s">
        <v>12</v>
      </c>
      <c r="Q444" s="5" t="s">
        <v>13</v>
      </c>
      <c r="R444" s="5" t="s">
        <v>117</v>
      </c>
      <c r="S444" s="8"/>
    </row>
    <row r="445" spans="1:19" x14ac:dyDescent="0.3">
      <c r="A445" s="9" t="e">
        <f>IF(C445="","",MAX($A$2:A444)+1)</f>
        <v>#REF!</v>
      </c>
      <c r="B445" s="10" t="s">
        <v>0</v>
      </c>
      <c r="C445" s="11">
        <v>46099</v>
      </c>
      <c r="D445" s="13" t="str">
        <f>_xlfn.XLOOKUP([1]!Table134526_79101120212223242526[[#This Row],[Name Surname]],[1]Manpower!$C$4:$C$1048576,[1]Manpower!$B$4:$B$1048576,"")</f>
        <v>AL Saif &amp; Al QALLM ENT LLC</v>
      </c>
      <c r="E445" s="13" t="s">
        <v>17</v>
      </c>
      <c r="F445" s="12">
        <f>_xlfn.XLOOKUP([1]!Table134526_79101120212223242526[[#This Row],[Name Surname]],[1]Manpower!C:C,[1]Manpower!D:D,)</f>
        <v>108478006</v>
      </c>
      <c r="G445" s="13" t="str">
        <f>_xlfn.XLOOKUP([1]!Table134526_79101120212223242526[[#This Row],[Name Surname]],[1]Manpower!$C$4:$C$1048576,[1]Manpower!$F$4:$F$1048576,"")</f>
        <v>RIgger</v>
      </c>
      <c r="H445" s="13" t="str">
        <f>_xlfn.XLOOKUP([1]!Table134526_79101120212223242526[[#This Row],[Name Surname]],[1]Manpower!$C$4:$C$1048576,[1]Manpower!$H$4:$H$1048576,"")</f>
        <v>Sub Contactor</v>
      </c>
      <c r="I445" s="13" t="str">
        <f>_xlfn.XLOOKUP([1]!Table134526_79101120212223242526[[#This Row],[Name Surname]],[1]Manpower!$C$4:$C$1048576,[1]Manpower!$H$4:$H$1048576,"")</f>
        <v>Sub Contactor</v>
      </c>
      <c r="J445" s="13" t="s">
        <v>9</v>
      </c>
      <c r="K445" s="13" t="s">
        <v>7</v>
      </c>
      <c r="L445" s="13" t="s">
        <v>10</v>
      </c>
      <c r="M445" s="13" t="s">
        <v>5</v>
      </c>
      <c r="N445" s="14">
        <v>10</v>
      </c>
      <c r="O445" s="13" t="s">
        <v>6</v>
      </c>
      <c r="P445" s="13" t="s">
        <v>12</v>
      </c>
      <c r="Q445" s="13" t="s">
        <v>29</v>
      </c>
      <c r="R445" s="13" t="s">
        <v>117</v>
      </c>
      <c r="S445" s="15"/>
    </row>
    <row r="446" spans="1:19" x14ac:dyDescent="0.3">
      <c r="A446" s="1" t="e">
        <f>IF(C446="","",MAX($A$2:A445)+1)</f>
        <v>#REF!</v>
      </c>
      <c r="B446" s="10" t="s">
        <v>0</v>
      </c>
      <c r="C446" s="3">
        <v>46099</v>
      </c>
      <c r="D446" s="5" t="str">
        <f>_xlfn.XLOOKUP([1]!Table134526_79101120212223242526[[#This Row],[Name Surname]],[1]Manpower!$C$4:$C$1048576,[1]Manpower!$B$4:$B$1048576,"")</f>
        <v>AL Omar International TRAD AND CONT</v>
      </c>
      <c r="E446" s="5" t="s">
        <v>15</v>
      </c>
      <c r="F446" s="4">
        <f>_xlfn.XLOOKUP([1]!Table134526_79101120212223242526[[#This Row],[Name Surname]],[1]Manpower!C:C,[1]Manpower!D:D,)</f>
        <v>115018512</v>
      </c>
      <c r="G446" s="5" t="str">
        <f>_xlfn.XLOOKUP([1]!Table134526_79101120212223242526[[#This Row],[Name Surname]],[1]Manpower!$C$4:$C$1048576,[1]Manpower!$F$4:$F$1048576,"")</f>
        <v>RIgger</v>
      </c>
      <c r="H446" s="5" t="str">
        <f>_xlfn.XLOOKUP([1]!Table134526_79101120212223242526[[#This Row],[Name Surname]],[1]Manpower!$C$4:$C$1048576,[1]Manpower!$H$4:$H$1048576,"")</f>
        <v>Sub Contactor</v>
      </c>
      <c r="I446" s="5" t="str">
        <f>_xlfn.XLOOKUP([1]!Table134526_79101120212223242526[[#This Row],[Name Surname]],[1]Manpower!$C$4:$C$1048576,[1]Manpower!$H$4:$H$1048576,"")</f>
        <v>Sub Contactor</v>
      </c>
      <c r="J446" s="5" t="s">
        <v>9</v>
      </c>
      <c r="K446" s="5" t="s">
        <v>7</v>
      </c>
      <c r="L446" s="5" t="s">
        <v>10</v>
      </c>
      <c r="M446" s="5" t="s">
        <v>5</v>
      </c>
      <c r="N446" s="6">
        <v>10</v>
      </c>
      <c r="O446" s="5" t="s">
        <v>6</v>
      </c>
      <c r="P446" s="5" t="s">
        <v>12</v>
      </c>
      <c r="Q446" s="5" t="s">
        <v>29</v>
      </c>
      <c r="R446" s="5" t="s">
        <v>117</v>
      </c>
      <c r="S446" s="8"/>
    </row>
    <row r="447" spans="1:19" x14ac:dyDescent="0.3">
      <c r="A447" s="9" t="e">
        <f>IF(C447="","",MAX($A$2:A446)+1)</f>
        <v>#REF!</v>
      </c>
      <c r="B447" s="10" t="s">
        <v>0</v>
      </c>
      <c r="C447" s="11">
        <v>46099</v>
      </c>
      <c r="D447" s="11" t="str">
        <f>_xlfn.XLOOKUP([1]!Table134526_79101120212223242526[[#This Row],[Name Surname]],[1]Manpower!$C$4:$C$1048576,[1]Manpower!$B$4:$B$1048576,"")</f>
        <v>Encogroup</v>
      </c>
      <c r="E447" s="11" t="s">
        <v>20</v>
      </c>
      <c r="F447" s="12">
        <f>_xlfn.XLOOKUP([1]!Table134526_79101120212223242526[[#This Row],[Name Surname]],[1]Manpower!C:C,[1]Manpower!D:D,)</f>
        <v>122082769</v>
      </c>
      <c r="G447" s="11" t="str">
        <f>_xlfn.XLOOKUP([1]!Table134526_79101120212223242526[[#This Row],[Name Surname]],[1]Manpower!$C$4:$C$1048576,[1]Manpower!$F$4:$F$1048576,"")</f>
        <v>Grinder</v>
      </c>
      <c r="H447" s="11" t="str">
        <f>_xlfn.XLOOKUP([1]!Table134526_79101120212223242526[[#This Row],[Name Surname]],[1]Manpower!$C$4:$C$1048576,[1]Manpower!$H$4:$H$1048576,"")</f>
        <v>Manpower</v>
      </c>
      <c r="I447" s="11" t="str">
        <f>_xlfn.XLOOKUP([1]!Table134526_79101120212223242526[[#This Row],[Name Surname]],[1]Manpower!$C$4:$C$1048576,[1]Manpower!$H$4:$H$1048576,"")</f>
        <v>Manpower</v>
      </c>
      <c r="J447" s="13" t="s">
        <v>9</v>
      </c>
      <c r="K447" s="13" t="s">
        <v>7</v>
      </c>
      <c r="L447" s="13" t="s">
        <v>10</v>
      </c>
      <c r="M447" s="13" t="s">
        <v>5</v>
      </c>
      <c r="N447" s="14">
        <v>10</v>
      </c>
      <c r="O447" s="13" t="s">
        <v>6</v>
      </c>
      <c r="P447" s="13" t="s">
        <v>12</v>
      </c>
      <c r="Q447" s="13" t="s">
        <v>12</v>
      </c>
      <c r="R447" s="13" t="s">
        <v>117</v>
      </c>
      <c r="S447" s="15"/>
    </row>
    <row r="448" spans="1:19" x14ac:dyDescent="0.3">
      <c r="A448" s="1" t="e">
        <f>IF(C448="","",MAX($A$2:A447)+1)</f>
        <v>#REF!</v>
      </c>
      <c r="B448" s="16" t="s">
        <v>21</v>
      </c>
      <c r="C448" s="3">
        <v>46099</v>
      </c>
      <c r="D448" s="5" t="str">
        <f>_xlfn.XLOOKUP([1]!Table134526_79101120212223242526[[#This Row],[Name Surname]],[1]Manpower!$C$4:$C$1048576,[1]Manpower!$B$4:$B$1048576,"")</f>
        <v>Encogroup</v>
      </c>
      <c r="E448" s="5" t="s">
        <v>22</v>
      </c>
      <c r="F448" s="4">
        <f>_xlfn.XLOOKUP([1]!Table134526_79101120212223242526[[#This Row],[Name Surname]],[1]Manpower!C:C,[1]Manpower!D:D,)</f>
        <v>116915582</v>
      </c>
      <c r="G448" s="5" t="str">
        <f>_xlfn.XLOOKUP([1]!Table134526_79101120212223242526[[#This Row],[Name Surname]],[1]Manpower!$C$4:$C$1048576,[1]Manpower!$F$4:$F$1048576,"")</f>
        <v>Mechanical Superintendent</v>
      </c>
      <c r="H448" s="5" t="str">
        <f>_xlfn.XLOOKUP([1]!Table134526_79101120212223242526[[#This Row],[Name Surname]],[1]Manpower!$C$4:$C$1048576,[1]Manpower!$H$4:$H$1048576,"")</f>
        <v>Manpower</v>
      </c>
      <c r="I448" s="5" t="str">
        <f>_xlfn.XLOOKUP([1]!Table134526_79101120212223242526[[#This Row],[Name Surname]],[1]Manpower!$C$4:$C$1048576,[1]Manpower!$H$4:$H$1048576,"")</f>
        <v>Manpower</v>
      </c>
      <c r="J448" s="5" t="s">
        <v>23</v>
      </c>
      <c r="K448" s="5" t="s">
        <v>72</v>
      </c>
      <c r="L448" s="5" t="s">
        <v>25</v>
      </c>
      <c r="M448" s="5" t="s">
        <v>5</v>
      </c>
      <c r="N448" s="6">
        <v>10</v>
      </c>
      <c r="O448" s="5" t="s">
        <v>6</v>
      </c>
      <c r="P448" s="5" t="s">
        <v>12</v>
      </c>
      <c r="Q448" s="5" t="s">
        <v>26</v>
      </c>
      <c r="R448" s="5" t="s">
        <v>118</v>
      </c>
      <c r="S448" s="8"/>
    </row>
    <row r="449" spans="1:19" x14ac:dyDescent="0.3">
      <c r="A449" s="9" t="e">
        <f>IF(C449="","",MAX($A$2:A448)+1)</f>
        <v>#REF!</v>
      </c>
      <c r="B449" s="16" t="s">
        <v>21</v>
      </c>
      <c r="C449" s="11">
        <v>46099</v>
      </c>
      <c r="D449" s="13" t="str">
        <f>_xlfn.XLOOKUP([1]!Table134526_79101120212223242526[[#This Row],[Name Surname]],[1]Manpower!$C$4:$C$1048576,[1]Manpower!$B$4:$B$1048576,"")</f>
        <v>Encogroup</v>
      </c>
      <c r="E449" s="13" t="s">
        <v>28</v>
      </c>
      <c r="F449" s="12">
        <f>_xlfn.XLOOKUP([1]!Table134526_79101120212223242526[[#This Row],[Name Surname]],[1]Manpower!C:C,[1]Manpower!D:D,)</f>
        <v>141169071</v>
      </c>
      <c r="G449" s="13" t="str">
        <f>_xlfn.XLOOKUP([1]!Table134526_79101120212223242526[[#This Row],[Name Surname]],[1]Manpower!$C$4:$C$1048576,[1]Manpower!$F$4:$F$1048576,"")</f>
        <v>Welding Supervisor</v>
      </c>
      <c r="H449" s="13" t="str">
        <f>_xlfn.XLOOKUP([1]!Table134526_79101120212223242526[[#This Row],[Name Surname]],[1]Manpower!$C$4:$C$1048576,[1]Manpower!$H$4:$H$1048576,"")</f>
        <v>Manpower</v>
      </c>
      <c r="I449" s="13" t="str">
        <f>_xlfn.XLOOKUP([1]!Table134526_79101120212223242526[[#This Row],[Name Surname]],[1]Manpower!$C$4:$C$1048576,[1]Manpower!$H$4:$H$1048576,"")</f>
        <v>Manpower</v>
      </c>
      <c r="J449" s="13" t="s">
        <v>23</v>
      </c>
      <c r="K449" s="13" t="s">
        <v>72</v>
      </c>
      <c r="L449" s="13" t="s">
        <v>25</v>
      </c>
      <c r="M449" s="13" t="s">
        <v>5</v>
      </c>
      <c r="N449" s="14">
        <v>10</v>
      </c>
      <c r="O449" s="13" t="s">
        <v>6</v>
      </c>
      <c r="P449" s="13" t="s">
        <v>12</v>
      </c>
      <c r="Q449" s="13" t="s">
        <v>26</v>
      </c>
      <c r="R449" s="13" t="s">
        <v>119</v>
      </c>
      <c r="S449" s="15"/>
    </row>
    <row r="450" spans="1:19" x14ac:dyDescent="0.3">
      <c r="A450" s="1" t="e">
        <f>IF(C450="","",MAX($A$2:A449)+1)</f>
        <v>#REF!</v>
      </c>
      <c r="B450" s="16" t="s">
        <v>21</v>
      </c>
      <c r="C450" s="3">
        <v>46099</v>
      </c>
      <c r="D450" s="5" t="str">
        <f>_xlfn.XLOOKUP([1]!Table134526_79101120212223242526[[#This Row],[Name Surname]],[1]Manpower!$C$4:$C$1048576,[1]Manpower!$B$4:$B$1048576,"")</f>
        <v>Encogroup</v>
      </c>
      <c r="E450" s="5" t="s">
        <v>31</v>
      </c>
      <c r="F450" s="4">
        <f>_xlfn.XLOOKUP([1]!Table134526_79101120212223242526[[#This Row],[Name Surname]],[1]Manpower!C:C,[1]Manpower!D:D,)</f>
        <v>141365126</v>
      </c>
      <c r="G450" s="5" t="str">
        <f>_xlfn.XLOOKUP([1]!Table134526_79101120212223242526[[#This Row],[Name Surname]],[1]Manpower!$C$4:$C$1048576,[1]Manpower!$F$4:$F$1048576,"")</f>
        <v>Helper</v>
      </c>
      <c r="H450" s="5" t="str">
        <f>_xlfn.XLOOKUP([1]!Table134526_79101120212223242526[[#This Row],[Name Surname]],[1]Manpower!$C$4:$C$1048576,[1]Manpower!$H$4:$H$1048576,"")</f>
        <v>Manpower</v>
      </c>
      <c r="I450" s="5" t="str">
        <f>_xlfn.XLOOKUP([1]!Table134526_79101120212223242526[[#This Row],[Name Surname]],[1]Manpower!$C$4:$C$1048576,[1]Manpower!$H$4:$H$1048576,"")</f>
        <v>Manpower</v>
      </c>
      <c r="J450" s="5" t="s">
        <v>23</v>
      </c>
      <c r="K450" s="5" t="s">
        <v>72</v>
      </c>
      <c r="L450" s="5" t="s">
        <v>25</v>
      </c>
      <c r="M450" s="5" t="s">
        <v>5</v>
      </c>
      <c r="N450" s="6">
        <v>10</v>
      </c>
      <c r="O450" s="5" t="s">
        <v>11</v>
      </c>
      <c r="P450" s="5" t="s">
        <v>12</v>
      </c>
      <c r="Q450" s="5" t="s">
        <v>13</v>
      </c>
      <c r="R450" s="5" t="s">
        <v>107</v>
      </c>
      <c r="S450" s="8"/>
    </row>
    <row r="451" spans="1:19" x14ac:dyDescent="0.3">
      <c r="A451" s="9" t="e">
        <f>IF(C451="","",MAX($A$2:A450)+1)</f>
        <v>#REF!</v>
      </c>
      <c r="B451" s="16" t="s">
        <v>21</v>
      </c>
      <c r="C451" s="11">
        <v>46099</v>
      </c>
      <c r="D451" s="13" t="str">
        <f>_xlfn.XLOOKUP([1]!Table134526_79101120212223242526[[#This Row],[Name Surname]],[1]Manpower!$C$4:$C$1048576,[1]Manpower!$B$4:$B$1048576,"")</f>
        <v>Bright Light</v>
      </c>
      <c r="E451" s="13" t="s">
        <v>41</v>
      </c>
      <c r="F451" s="12">
        <f>_xlfn.XLOOKUP([1]!Table134526_79101120212223242526[[#This Row],[Name Surname]],[1]Manpower!C:C,[1]Manpower!D:D,)</f>
        <v>81379273</v>
      </c>
      <c r="G451" s="13" t="str">
        <f>_xlfn.XLOOKUP([1]!Table134526_79101120212223242526[[#This Row],[Name Surname]],[1]Manpower!$C$4:$C$1048576,[1]Manpower!$F$4:$F$1048576,"")</f>
        <v>Crane Operator-100T Sany Telescopic</v>
      </c>
      <c r="H451" s="13" t="str">
        <f>_xlfn.XLOOKUP([1]!Table134526_79101120212223242526[[#This Row],[Name Surname]],[1]Manpower!$C$4:$C$1048576,[1]Manpower!$H$4:$H$1048576,"")</f>
        <v>Manpower</v>
      </c>
      <c r="I451" s="13" t="str">
        <f>_xlfn.XLOOKUP([1]!Table134526_79101120212223242526[[#This Row],[Name Surname]],[1]Manpower!$C$4:$C$1048576,[1]Manpower!$H$4:$H$1048576,"")</f>
        <v>Manpower</v>
      </c>
      <c r="J451" s="13" t="s">
        <v>23</v>
      </c>
      <c r="K451" s="13" t="s">
        <v>107</v>
      </c>
      <c r="L451" s="13" t="s">
        <v>25</v>
      </c>
      <c r="M451" s="13" t="s">
        <v>18</v>
      </c>
      <c r="N451" s="14">
        <v>10</v>
      </c>
      <c r="O451" s="13"/>
      <c r="P451" s="13"/>
      <c r="Q451" s="13"/>
      <c r="R451" s="13" t="s">
        <v>108</v>
      </c>
      <c r="S451" s="15"/>
    </row>
    <row r="452" spans="1:19" x14ac:dyDescent="0.3">
      <c r="A452" s="1" t="e">
        <f>IF(C452="","",MAX($A$2:A451)+1)</f>
        <v>#REF!</v>
      </c>
      <c r="B452" s="16" t="s">
        <v>21</v>
      </c>
      <c r="C452" s="3">
        <v>46099</v>
      </c>
      <c r="D452" s="5" t="str">
        <f>_xlfn.XLOOKUP([1]!Table134526_79101120212223242526[[#This Row],[Name Surname]],[1]Manpower!$C$4:$C$1048576,[1]Manpower!$B$4:$B$1048576,"")</f>
        <v>Encogroup</v>
      </c>
      <c r="E452" s="5" t="s">
        <v>32</v>
      </c>
      <c r="F452" s="4">
        <f>_xlfn.XLOOKUP([1]!Table134526_79101120212223242526[[#This Row],[Name Surname]],[1]Manpower!C:C,[1]Manpower!D:D,)</f>
        <v>140764706</v>
      </c>
      <c r="G452" s="5" t="str">
        <f>_xlfn.XLOOKUP([1]!Table134526_79101120212223242526[[#This Row],[Name Surname]],[1]Manpower!$C$4:$C$1048576,[1]Manpower!$F$4:$F$1048576,"")</f>
        <v>Rigger</v>
      </c>
      <c r="H452" s="5" t="str">
        <f>_xlfn.XLOOKUP([1]!Table134526_79101120212223242526[[#This Row],[Name Surname]],[1]Manpower!$C$4:$C$1048576,[1]Manpower!$H$4:$H$1048576,"")</f>
        <v>Manpower</v>
      </c>
      <c r="I452" s="5" t="str">
        <f>_xlfn.XLOOKUP([1]!Table134526_79101120212223242526[[#This Row],[Name Surname]],[1]Manpower!$C$4:$C$1048576,[1]Manpower!$H$4:$H$1048576,"")</f>
        <v>Manpower</v>
      </c>
      <c r="J452" s="5" t="s">
        <v>23</v>
      </c>
      <c r="K452" s="5" t="s">
        <v>72</v>
      </c>
      <c r="L452" s="5" t="s">
        <v>25</v>
      </c>
      <c r="M452" s="5" t="s">
        <v>5</v>
      </c>
      <c r="N452" s="6">
        <v>10</v>
      </c>
      <c r="O452" s="5" t="s">
        <v>33</v>
      </c>
      <c r="P452" s="5" t="s">
        <v>33</v>
      </c>
      <c r="Q452" s="5" t="s">
        <v>33</v>
      </c>
      <c r="R452" s="5" t="s">
        <v>7</v>
      </c>
      <c r="S452" s="8"/>
    </row>
    <row r="453" spans="1:19" x14ac:dyDescent="0.3">
      <c r="A453" s="9" t="e">
        <f>IF(C453="","",MAX($A$2:A451)+1)</f>
        <v>#REF!</v>
      </c>
      <c r="B453" s="16" t="s">
        <v>21</v>
      </c>
      <c r="C453" s="11">
        <v>46099</v>
      </c>
      <c r="D453" s="13" t="str">
        <f>_xlfn.XLOOKUP([1]!Table134526_79101120212223242526[[#This Row],[Name Surname]],[1]Manpower!$C$4:$C$1048576,[1]Manpower!$B$4:$B$1048576,"")</f>
        <v>Encogroup</v>
      </c>
      <c r="E453" s="13" t="s">
        <v>34</v>
      </c>
      <c r="F453" s="12">
        <f>_xlfn.XLOOKUP([1]!Table134526_79101120212223242526[[#This Row],[Name Surname]],[1]Manpower!C:C,[1]Manpower!D:D,)</f>
        <v>135325259</v>
      </c>
      <c r="G453" s="13" t="str">
        <f>_xlfn.XLOOKUP([1]!Table134526_79101120212223242526[[#This Row],[Name Surname]],[1]Manpower!$C$4:$C$1048576,[1]Manpower!$F$4:$F$1048576,"")</f>
        <v>Permit Receiver</v>
      </c>
      <c r="H453" s="13" t="str">
        <f>_xlfn.XLOOKUP([1]!Table134526_79101120212223242526[[#This Row],[Name Surname]],[1]Manpower!$C$4:$C$1048576,[1]Manpower!$H$4:$H$1048576,"")</f>
        <v>Manpower</v>
      </c>
      <c r="I453" s="13" t="str">
        <f>_xlfn.XLOOKUP([1]!Table134526_79101120212223242526[[#This Row],[Name Surname]],[1]Manpower!$C$4:$C$1048576,[1]Manpower!$H$4:$H$1048576,"")</f>
        <v>Manpower</v>
      </c>
      <c r="J453" s="13" t="s">
        <v>23</v>
      </c>
      <c r="K453" s="13" t="s">
        <v>72</v>
      </c>
      <c r="L453" s="13" t="s">
        <v>25</v>
      </c>
      <c r="M453" s="13" t="s">
        <v>5</v>
      </c>
      <c r="N453" s="14">
        <v>10</v>
      </c>
      <c r="O453" s="13" t="s">
        <v>35</v>
      </c>
      <c r="P453" s="13" t="s">
        <v>35</v>
      </c>
      <c r="Q453" s="13" t="s">
        <v>35</v>
      </c>
      <c r="R453" s="13" t="s">
        <v>7</v>
      </c>
      <c r="S453" s="15"/>
    </row>
    <row r="454" spans="1:19" x14ac:dyDescent="0.3">
      <c r="A454" s="1" t="e">
        <f>IF(C454="","",MAX($A$2:A453)+1)</f>
        <v>#REF!</v>
      </c>
      <c r="B454" s="16" t="s">
        <v>21</v>
      </c>
      <c r="C454" s="3">
        <v>46099</v>
      </c>
      <c r="D454" s="5" t="str">
        <f>_xlfn.XLOOKUP([1]!Table134526_79101120212223242526[[#This Row],[Name Surname]],[1]Manpower!$C$4:$C$1048576,[1]Manpower!$B$4:$B$1048576,"")</f>
        <v>Encogroup</v>
      </c>
      <c r="E454" s="5" t="s">
        <v>120</v>
      </c>
      <c r="F454" s="4">
        <f>_xlfn.XLOOKUP([1]!Table134526_79101120212223242526[[#This Row],[Name Surname]],[1]Manpower!C:C,[1]Manpower!D:D,)</f>
        <v>141365089</v>
      </c>
      <c r="G454" s="5" t="str">
        <f>_xlfn.XLOOKUP([1]!Table134526_79101120212223242526[[#This Row],[Name Surname]],[1]Manpower!$C$4:$C$1048576,[1]Manpower!$F$4:$F$1048576,"")</f>
        <v>Fitter</v>
      </c>
      <c r="H454" s="5" t="str">
        <f>_xlfn.XLOOKUP([1]!Table134526_79101120212223242526[[#This Row],[Name Surname]],[1]Manpower!$C$4:$C$1048576,[1]Manpower!$H$4:$H$1048576,"")</f>
        <v>Manpower</v>
      </c>
      <c r="I454" s="5" t="str">
        <f>_xlfn.XLOOKUP([1]!Table134526_79101120212223242526[[#This Row],[Name Surname]],[1]Manpower!$C$4:$C$1048576,[1]Manpower!$H$4:$H$1048576,"")</f>
        <v>Manpower</v>
      </c>
      <c r="J454" s="5" t="s">
        <v>23</v>
      </c>
      <c r="K454" s="5" t="s">
        <v>72</v>
      </c>
      <c r="L454" s="5" t="s">
        <v>25</v>
      </c>
      <c r="M454" s="5" t="s">
        <v>5</v>
      </c>
      <c r="N454" s="6">
        <v>10</v>
      </c>
      <c r="O454" s="5" t="s">
        <v>35</v>
      </c>
      <c r="P454" s="5" t="s">
        <v>35</v>
      </c>
      <c r="Q454" s="5" t="s">
        <v>35</v>
      </c>
      <c r="R454" s="5" t="s">
        <v>7</v>
      </c>
      <c r="S454" s="8"/>
    </row>
    <row r="455" spans="1:19" x14ac:dyDescent="0.3">
      <c r="A455" s="9" t="e">
        <f>IF(C455="","",MAX($A$2:A454)+1)</f>
        <v>#REF!</v>
      </c>
      <c r="B455" s="17" t="s">
        <v>36</v>
      </c>
      <c r="C455" s="11">
        <v>46099</v>
      </c>
      <c r="D455" s="13" t="str">
        <f>_xlfn.XLOOKUP([1]!Table134526_79101120212223242526[[#This Row],[Name Surname]],[1]Manpower!$C$4:$C$1048576,[1]Manpower!$B$4:$B$1048576,"")</f>
        <v>Encogroup</v>
      </c>
      <c r="E455" s="13" t="s">
        <v>43</v>
      </c>
      <c r="F455" s="12">
        <f>_xlfn.XLOOKUP([1]!Table134526_79101120212223242526[[#This Row],[Name Surname]],[1]Manpower!C:C,[1]Manpower!D:D,)</f>
        <v>122179604</v>
      </c>
      <c r="G455" s="13" t="str">
        <f>_xlfn.XLOOKUP([1]!Table134526_79101120212223242526[[#This Row],[Name Surname]],[1]Manpower!$C$4:$C$1048576,[1]Manpower!$F$4:$F$1048576,"")</f>
        <v>Fitter/Erector</v>
      </c>
      <c r="H455" s="13" t="str">
        <f>_xlfn.XLOOKUP([1]!Table134526_79101120212223242526[[#This Row],[Name Surname]],[1]Manpower!$C$4:$C$1048576,[1]Manpower!$H$4:$H$1048576,"")</f>
        <v>Manpower</v>
      </c>
      <c r="I455" s="13" t="str">
        <f>_xlfn.XLOOKUP([1]!Table134526_79101120212223242526[[#This Row],[Name Surname]],[1]Manpower!$C$4:$C$1048576,[1]Manpower!$H$4:$H$1048576,"")</f>
        <v>Manpower</v>
      </c>
      <c r="J455" s="13" t="s">
        <v>38</v>
      </c>
      <c r="K455" s="13" t="s">
        <v>7</v>
      </c>
      <c r="L455" s="13" t="s">
        <v>39</v>
      </c>
      <c r="M455" s="13" t="s">
        <v>5</v>
      </c>
      <c r="N455" s="14">
        <v>10</v>
      </c>
      <c r="O455" s="13" t="s">
        <v>11</v>
      </c>
      <c r="P455" s="13" t="s">
        <v>13</v>
      </c>
      <c r="Q455" s="13" t="s">
        <v>13</v>
      </c>
      <c r="R455" s="13" t="s">
        <v>121</v>
      </c>
      <c r="S455" s="15"/>
    </row>
    <row r="456" spans="1:19" x14ac:dyDescent="0.3">
      <c r="A456" s="1" t="e">
        <f>IF(C456="","",MAX($A$2:A455)+1)</f>
        <v>#REF!</v>
      </c>
      <c r="B456" s="17" t="s">
        <v>36</v>
      </c>
      <c r="C456" s="3">
        <v>46099</v>
      </c>
      <c r="D456" s="5" t="str">
        <f>_xlfn.XLOOKUP([1]!Table134526_79101120212223242526[[#This Row],[Name Surname]],[1]Manpower!$C$4:$C$1048576,[1]Manpower!$B$4:$B$1048576,"")</f>
        <v>Encogroup</v>
      </c>
      <c r="E456" s="5" t="s">
        <v>37</v>
      </c>
      <c r="F456" s="4">
        <f>_xlfn.XLOOKUP([1]!Table134526_79101120212223242526[[#This Row],[Name Surname]],[1]Manpower!C:C,[1]Manpower!D:D,)</f>
        <v>117255966</v>
      </c>
      <c r="G456" s="5" t="str">
        <f>_xlfn.XLOOKUP([1]!Table134526_79101120212223242526[[#This Row],[Name Surname]],[1]Manpower!$C$4:$C$1048576,[1]Manpower!$F$4:$F$1048576,"")</f>
        <v>Mechanical Supervisor</v>
      </c>
      <c r="H456" s="5" t="str">
        <f>_xlfn.XLOOKUP([1]!Table134526_79101120212223242526[[#This Row],[Name Surname]],[1]Manpower!$C$4:$C$1048576,[1]Manpower!$H$4:$H$1048576,"")</f>
        <v>Manpower</v>
      </c>
      <c r="I456" s="5" t="str">
        <f>_xlfn.XLOOKUP([1]!Table134526_79101120212223242526[[#This Row],[Name Surname]],[1]Manpower!$C$4:$C$1048576,[1]Manpower!$H$4:$H$1048576,"")</f>
        <v>Manpower</v>
      </c>
      <c r="J456" s="5" t="s">
        <v>38</v>
      </c>
      <c r="K456" s="5" t="s">
        <v>7</v>
      </c>
      <c r="L456" s="5" t="s">
        <v>39</v>
      </c>
      <c r="M456" s="5" t="s">
        <v>5</v>
      </c>
      <c r="N456" s="6">
        <v>10</v>
      </c>
      <c r="O456" s="5" t="s">
        <v>33</v>
      </c>
      <c r="P456" s="5" t="s">
        <v>33</v>
      </c>
      <c r="Q456" s="5" t="s">
        <v>33</v>
      </c>
      <c r="R456" s="5" t="s">
        <v>7</v>
      </c>
      <c r="S456" s="8"/>
    </row>
    <row r="457" spans="1:19" x14ac:dyDescent="0.3">
      <c r="A457" s="9" t="e">
        <f>IF(C457="","",MAX($A$2:A456)+1)</f>
        <v>#REF!</v>
      </c>
      <c r="B457" s="17" t="s">
        <v>36</v>
      </c>
      <c r="C457" s="11">
        <v>46099</v>
      </c>
      <c r="D457" s="13" t="str">
        <f>_xlfn.XLOOKUP([1]!Table134526_79101120212223242526[[#This Row],[Name Surname]],[1]Manpower!$C$4:$C$1048576,[1]Manpower!$B$4:$B$1048576,"")</f>
        <v>Encogroup</v>
      </c>
      <c r="E457" s="13" t="s">
        <v>40</v>
      </c>
      <c r="F457" s="12" t="e">
        <f>_xlfn.XLOOKUP([1]!Table134526_79101120212223242526[[#This Row],[Name Surname]],[1]Manpower!C:C,[1]Manpower!D:D,)</f>
        <v>#N/A</v>
      </c>
      <c r="G457" s="13" t="str">
        <f>_xlfn.XLOOKUP([1]!Table134526_79101120212223242526[[#This Row],[Name Surname]],[1]Manpower!$C$4:$C$1048576,[1]Manpower!$F$4:$F$1048576,"")</f>
        <v>55 Seat Bus</v>
      </c>
      <c r="H457" s="13" t="str">
        <f>_xlfn.XLOOKUP([1]!Table134526_79101120212223242526[[#This Row],[Name Surname]],[1]Manpower!$C$4:$C$1048576,[1]Manpower!$H$4:$H$1048576,"")</f>
        <v>Equipment</v>
      </c>
      <c r="I457" s="13" t="str">
        <f>_xlfn.XLOOKUP([1]!Table134526_79101120212223242526[[#This Row],[Name Surname]],[1]Manpower!$C$4:$C$1048576,[1]Manpower!$H$4:$H$1048576,"")</f>
        <v>Equipment</v>
      </c>
      <c r="J457" s="13" t="s">
        <v>38</v>
      </c>
      <c r="K457" s="13" t="s">
        <v>7</v>
      </c>
      <c r="L457" s="13" t="s">
        <v>39</v>
      </c>
      <c r="M457" s="13" t="s">
        <v>5</v>
      </c>
      <c r="N457" s="14">
        <v>10</v>
      </c>
      <c r="O457" s="13" t="s">
        <v>33</v>
      </c>
      <c r="P457" s="13" t="s">
        <v>33</v>
      </c>
      <c r="Q457" s="13" t="s">
        <v>33</v>
      </c>
      <c r="R457" s="13" t="s">
        <v>7</v>
      </c>
      <c r="S457" s="15"/>
    </row>
    <row r="458" spans="1:19" x14ac:dyDescent="0.3">
      <c r="A458" s="1" t="e">
        <f>IF(C458="","",MAX($A$2:A456)+1)</f>
        <v>#REF!</v>
      </c>
      <c r="B458" s="17" t="s">
        <v>36</v>
      </c>
      <c r="C458" s="3">
        <v>46099</v>
      </c>
      <c r="D458" s="5" t="str">
        <f>_xlfn.XLOOKUP([1]!Table134526_79101120212223242526[[#This Row],[Name Surname]],[1]Manpower!$C$4:$C$1048576,[1]Manpower!$B$4:$B$1048576,"")</f>
        <v>Encogroup</v>
      </c>
      <c r="E458" s="5" t="s">
        <v>45</v>
      </c>
      <c r="F458" s="4" t="e">
        <f>_xlfn.XLOOKUP([1]!Table134526_79101120212223242526[[#This Row],[Name Surname]],[1]Manpower!C:C,[1]Manpower!D:D,)</f>
        <v>#N/A</v>
      </c>
      <c r="G458" s="5" t="str">
        <f>_xlfn.XLOOKUP([1]!Table134526_79101120212223242526[[#This Row],[Name Surname]],[1]Manpower!$C$4:$C$1048576,[1]Manpower!$F$4:$F$1048576,"")</f>
        <v>22M-Manlift</v>
      </c>
      <c r="H458" s="5" t="str">
        <f>_xlfn.XLOOKUP([1]!Table134526_79101120212223242526[[#This Row],[Name Surname]],[1]Manpower!$C$4:$C$1048576,[1]Manpower!$H$4:$H$1048576,"")</f>
        <v>Equipment</v>
      </c>
      <c r="I458" s="5" t="str">
        <f>_xlfn.XLOOKUP([1]!Table134526_79101120212223242526[[#This Row],[Name Surname]],[1]Manpower!$C$4:$C$1048576,[1]Manpower!$H$4:$H$1048576,"")</f>
        <v>Equipment</v>
      </c>
      <c r="J458" s="5" t="s">
        <v>38</v>
      </c>
      <c r="K458" s="5" t="s">
        <v>7</v>
      </c>
      <c r="L458" s="5" t="s">
        <v>39</v>
      </c>
      <c r="M458" s="5" t="s">
        <v>5</v>
      </c>
      <c r="N458" s="6">
        <v>10</v>
      </c>
      <c r="O458" s="5" t="s">
        <v>11</v>
      </c>
      <c r="P458" s="5" t="s">
        <v>13</v>
      </c>
      <c r="Q458" s="5" t="s">
        <v>12</v>
      </c>
      <c r="R458" s="5" t="s">
        <v>79</v>
      </c>
      <c r="S458" s="8"/>
    </row>
    <row r="459" spans="1:19" x14ac:dyDescent="0.3">
      <c r="A459" s="9" t="e">
        <f>IF(C459="","",MAX($A$2:A458)+1)</f>
        <v>#REF!</v>
      </c>
      <c r="B459" s="17" t="s">
        <v>36</v>
      </c>
      <c r="C459" s="11">
        <v>46099</v>
      </c>
      <c r="D459" s="13" t="str">
        <f>_xlfn.XLOOKUP([1]!Table134526_79101120212223242526[[#This Row],[Name Surname]],[1]Manpower!$C$4:$C$1048576,[1]Manpower!$B$4:$B$1048576,"")</f>
        <v>Encogroup</v>
      </c>
      <c r="E459" s="13" t="s">
        <v>46</v>
      </c>
      <c r="F459" s="12" t="e">
        <f>_xlfn.XLOOKUP([1]!Table134526_79101120212223242526[[#This Row],[Name Surname]],[1]Manpower!C:C,[1]Manpower!D:D,)</f>
        <v>#N/A</v>
      </c>
      <c r="G459" s="13" t="str">
        <f>_xlfn.XLOOKUP([1]!Table134526_79101120212223242526[[#This Row],[Name Surname]],[1]Manpower!$C$4:$C$1048576,[1]Manpower!$F$4:$F$1048576,"")</f>
        <v>22M-Manlift</v>
      </c>
      <c r="H459" s="13" t="str">
        <f>_xlfn.XLOOKUP([1]!Table134526_79101120212223242526[[#This Row],[Name Surname]],[1]Manpower!$C$4:$C$1048576,[1]Manpower!$H$4:$H$1048576,"")</f>
        <v>Equipment</v>
      </c>
      <c r="I459" s="13" t="str">
        <f>_xlfn.XLOOKUP([1]!Table134526_79101120212223242526[[#This Row],[Name Surname]],[1]Manpower!$C$4:$C$1048576,[1]Manpower!$H$4:$H$1048576,"")</f>
        <v>Equipment</v>
      </c>
      <c r="J459" s="13" t="s">
        <v>38</v>
      </c>
      <c r="K459" s="13" t="s">
        <v>7</v>
      </c>
      <c r="L459" s="13" t="s">
        <v>39</v>
      </c>
      <c r="M459" s="13" t="s">
        <v>18</v>
      </c>
      <c r="N459" s="14">
        <v>10</v>
      </c>
      <c r="O459" s="13"/>
      <c r="P459" s="13"/>
      <c r="Q459" s="13"/>
      <c r="R459" s="13" t="s">
        <v>122</v>
      </c>
      <c r="S459" s="15"/>
    </row>
    <row r="460" spans="1:19" x14ac:dyDescent="0.3">
      <c r="A460" s="1" t="e">
        <f>IF(C460="","",MAX($A$2:A459)+1)</f>
        <v>#REF!</v>
      </c>
      <c r="B460" s="17" t="s">
        <v>36</v>
      </c>
      <c r="C460" s="3">
        <v>46099</v>
      </c>
      <c r="D460" s="5" t="str">
        <f>_xlfn.XLOOKUP([1]!Table134526_79101120212223242526[[#This Row],[Name Surname]],[1]Manpower!$C$4:$C$1048576,[1]Manpower!$B$4:$B$1048576,"")</f>
        <v>Nass Group</v>
      </c>
      <c r="E460" s="5" t="s">
        <v>48</v>
      </c>
      <c r="F460" s="4" t="e">
        <f>_xlfn.XLOOKUP([1]!Table134526_79101120212223242526[[#This Row],[Name Surname]],[1]Manpower!C:C,[1]Manpower!D:D,)</f>
        <v>#N/A</v>
      </c>
      <c r="G460" s="5" t="str">
        <f>_xlfn.XLOOKUP([1]!Table134526_79101120212223242526[[#This Row],[Name Surname]],[1]Manpower!$C$4:$C$1048576,[1]Manpower!$F$4:$F$1048576,"")</f>
        <v>70T-Telescopic crane</v>
      </c>
      <c r="H460" s="5" t="str">
        <f>_xlfn.XLOOKUP([1]!Table134526_79101120212223242526[[#This Row],[Name Surname]],[1]Manpower!$C$4:$C$1048576,[1]Manpower!$H$4:$H$1048576,"")</f>
        <v>Equipment</v>
      </c>
      <c r="I460" s="5" t="str">
        <f>_xlfn.XLOOKUP([1]!Table134526_79101120212223242526[[#This Row],[Name Surname]],[1]Manpower!$C$4:$C$1048576,[1]Manpower!$H$4:$H$1048576,"")</f>
        <v>Equipment</v>
      </c>
      <c r="J460" s="5" t="s">
        <v>38</v>
      </c>
      <c r="K460" s="5" t="s">
        <v>7</v>
      </c>
      <c r="L460" s="5" t="s">
        <v>39</v>
      </c>
      <c r="M460" s="5" t="s">
        <v>5</v>
      </c>
      <c r="N460" s="6">
        <v>10</v>
      </c>
      <c r="O460" s="5" t="s">
        <v>33</v>
      </c>
      <c r="P460" s="5" t="s">
        <v>33</v>
      </c>
      <c r="Q460" s="5" t="s">
        <v>33</v>
      </c>
      <c r="R460" s="5" t="s">
        <v>7</v>
      </c>
      <c r="S460" s="8"/>
    </row>
    <row r="461" spans="1:19" x14ac:dyDescent="0.3">
      <c r="A461" s="9" t="e">
        <f>IF(C461="","",MAX($A$2:A460)+1)</f>
        <v>#REF!</v>
      </c>
      <c r="B461" s="17" t="s">
        <v>36</v>
      </c>
      <c r="C461" s="11">
        <v>46099</v>
      </c>
      <c r="D461" s="13" t="str">
        <f>_xlfn.XLOOKUP([1]!Table134526_79101120212223242526[[#This Row],[Name Surname]],[1]Manpower!$C$4:$C$1048576,[1]Manpower!$B$4:$B$1048576,"")</f>
        <v>Encogroup</v>
      </c>
      <c r="E461" s="13" t="s">
        <v>49</v>
      </c>
      <c r="F461" s="12">
        <f>_xlfn.XLOOKUP([1]!Table134526_79101120212223242526[[#This Row],[Name Surname]],[1]Manpower!C:C,[1]Manpower!D:D,)</f>
        <v>126724428</v>
      </c>
      <c r="G461" s="13" t="str">
        <f>_xlfn.XLOOKUP([1]!Table134526_79101120212223242526[[#This Row],[Name Surname]],[1]Manpower!$C$4:$C$1048576,[1]Manpower!$F$4:$F$1048576,"")</f>
        <v>Surveyor</v>
      </c>
      <c r="H461" s="13" t="str">
        <f>_xlfn.XLOOKUP([1]!Table134526_79101120212223242526[[#This Row],[Name Surname]],[1]Manpower!$C$4:$C$1048576,[1]Manpower!$H$4:$H$1048576,"")</f>
        <v>Manpower</v>
      </c>
      <c r="I461" s="13" t="str">
        <f>_xlfn.XLOOKUP([1]!Table134526_79101120212223242526[[#This Row],[Name Surname]],[1]Manpower!$C$4:$C$1048576,[1]Manpower!$H$4:$H$1048576,"")</f>
        <v>Manpower</v>
      </c>
      <c r="J461" s="13" t="s">
        <v>38</v>
      </c>
      <c r="K461" s="13" t="s">
        <v>7</v>
      </c>
      <c r="L461" s="13" t="s">
        <v>39</v>
      </c>
      <c r="M461" s="13" t="s">
        <v>5</v>
      </c>
      <c r="N461" s="14">
        <v>10</v>
      </c>
      <c r="O461" s="13" t="s">
        <v>33</v>
      </c>
      <c r="P461" s="13" t="s">
        <v>33</v>
      </c>
      <c r="Q461" s="13" t="s">
        <v>33</v>
      </c>
      <c r="R461" s="13" t="s">
        <v>7</v>
      </c>
      <c r="S461" s="15"/>
    </row>
    <row r="462" spans="1:19" x14ac:dyDescent="0.3">
      <c r="A462" s="1" t="e">
        <f>IF(C462="","",MAX($A$2:A461)+1)</f>
        <v>#REF!</v>
      </c>
      <c r="B462" s="17" t="s">
        <v>36</v>
      </c>
      <c r="C462" s="3">
        <v>46099</v>
      </c>
      <c r="D462" s="5" t="str">
        <f>_xlfn.XLOOKUP([1]!Table134526_79101120212223242526[[#This Row],[Name Surname]],[1]Manpower!$C$4:$C$1048576,[1]Manpower!$B$4:$B$1048576,"")</f>
        <v>Encogroup</v>
      </c>
      <c r="E462" s="5" t="s">
        <v>50</v>
      </c>
      <c r="F462" s="4">
        <f>_xlfn.XLOOKUP([1]!Table134526_79101120212223242526[[#This Row],[Name Surname]],[1]Manpower!C:C,[1]Manpower!D:D,)</f>
        <v>132915855</v>
      </c>
      <c r="G462" s="5" t="str">
        <f>_xlfn.XLOOKUP([1]!Table134526_79101120212223242526[[#This Row],[Name Surname]],[1]Manpower!$C$4:$C$1048576,[1]Manpower!$F$4:$F$1048576,"")</f>
        <v>Mechanical Supervisor</v>
      </c>
      <c r="H462" s="5" t="str">
        <f>_xlfn.XLOOKUP([1]!Table134526_79101120212223242526[[#This Row],[Name Surname]],[1]Manpower!$C$4:$C$1048576,[1]Manpower!$H$4:$H$1048576,"")</f>
        <v>Manpower</v>
      </c>
      <c r="I462" s="5" t="str">
        <f>_xlfn.XLOOKUP([1]!Table134526_79101120212223242526[[#This Row],[Name Surname]],[1]Manpower!$C$4:$C$1048576,[1]Manpower!$H$4:$H$1048576,"")</f>
        <v>Manpower</v>
      </c>
      <c r="J462" s="5" t="s">
        <v>38</v>
      </c>
      <c r="K462" s="5" t="s">
        <v>7</v>
      </c>
      <c r="L462" s="5" t="s">
        <v>39</v>
      </c>
      <c r="M462" s="5" t="s">
        <v>5</v>
      </c>
      <c r="N462" s="6">
        <v>10</v>
      </c>
      <c r="O462" s="5"/>
      <c r="P462" s="5"/>
      <c r="Q462" s="5"/>
      <c r="R462" s="5" t="s">
        <v>7</v>
      </c>
      <c r="S462" s="8"/>
    </row>
    <row r="463" spans="1:19" x14ac:dyDescent="0.3">
      <c r="A463" s="9" t="e">
        <f>IF(C463="","",MAX($A$2:A462)+1)</f>
        <v>#REF!</v>
      </c>
      <c r="B463" s="17" t="s">
        <v>36</v>
      </c>
      <c r="C463" s="11">
        <v>46099</v>
      </c>
      <c r="D463" s="13" t="str">
        <f>_xlfn.XLOOKUP([1]!Table134526_79101120212223242526[[#This Row],[Name Surname]],[1]Manpower!$C$4:$C$1048576,[1]Manpower!$B$4:$B$1048576,"")</f>
        <v>Encogroup</v>
      </c>
      <c r="E463" s="11" t="s">
        <v>51</v>
      </c>
      <c r="F463" s="12">
        <f>_xlfn.XLOOKUP([1]!Table134526_79101120212223242526[[#This Row],[Name Surname]],[1]Manpower!C:C,[1]Manpower!D:D,)</f>
        <v>141377747</v>
      </c>
      <c r="G463" s="13" t="str">
        <f>_xlfn.XLOOKUP([1]!Table134526_79101120212223242526[[#This Row],[Name Surname]],[1]Manpower!$C$4:$C$1048576,[1]Manpower!$F$4:$F$1048576,"")</f>
        <v>Painter</v>
      </c>
      <c r="H463" s="13" t="str">
        <f>_xlfn.XLOOKUP([1]!Table134526_79101120212223242526[[#This Row],[Name Surname]],[1]Manpower!$C$4:$C$1048576,[1]Manpower!$H$4:$H$1048576,"")</f>
        <v>Manpower</v>
      </c>
      <c r="I463" s="13" t="str">
        <f>_xlfn.XLOOKUP([1]!Table134526_79101120212223242526[[#This Row],[Name Surname]],[1]Manpower!$C$4:$C$1048576,[1]Manpower!$H$4:$H$1048576,"")</f>
        <v>Manpower</v>
      </c>
      <c r="J463" s="13" t="s">
        <v>38</v>
      </c>
      <c r="K463" s="13" t="s">
        <v>7</v>
      </c>
      <c r="L463" s="13" t="s">
        <v>39</v>
      </c>
      <c r="M463" s="13" t="s">
        <v>18</v>
      </c>
      <c r="N463" s="14">
        <v>10</v>
      </c>
      <c r="O463" s="13"/>
      <c r="P463" s="13"/>
      <c r="Q463" s="13"/>
      <c r="R463" s="13" t="s">
        <v>19</v>
      </c>
      <c r="S463" s="15"/>
    </row>
    <row r="464" spans="1:19" x14ac:dyDescent="0.3">
      <c r="A464" s="1" t="e">
        <f>IF(C464="","",MAX($A$2:A463)+1)</f>
        <v>#REF!</v>
      </c>
      <c r="B464" s="17" t="s">
        <v>36</v>
      </c>
      <c r="C464" s="3">
        <v>46099</v>
      </c>
      <c r="D464" s="5" t="str">
        <f>_xlfn.XLOOKUP([1]!Table134526_79101120212223242526[[#This Row],[Name Surname]],[1]Manpower!$C$4:$C$1048576,[1]Manpower!$B$4:$B$1048576,"")</f>
        <v>Encogroup</v>
      </c>
      <c r="E464" s="5" t="s">
        <v>111</v>
      </c>
      <c r="F464" s="4">
        <f>_xlfn.XLOOKUP([1]!Table134526_79101120212223242526[[#This Row],[Name Surname]],[1]Manpower!C:C,[1]Manpower!D:D,)</f>
        <v>141359235</v>
      </c>
      <c r="G464" s="5" t="str">
        <f>_xlfn.XLOOKUP([1]!Table134526_79101120212223242526[[#This Row],[Name Surname]],[1]Manpower!$C$4:$C$1048576,[1]Manpower!$F$4:$F$1048576,"")</f>
        <v>Fitter</v>
      </c>
      <c r="H464" s="5" t="str">
        <f>_xlfn.XLOOKUP([1]!Table134526_79101120212223242526[[#This Row],[Name Surname]],[1]Manpower!$C$4:$C$1048576,[1]Manpower!$H$4:$H$1048576,"")</f>
        <v>Manpower</v>
      </c>
      <c r="I464" s="5" t="str">
        <f>_xlfn.XLOOKUP([1]!Table134526_79101120212223242526[[#This Row],[Name Surname]],[1]Manpower!$C$4:$C$1048576,[1]Manpower!$H$4:$H$1048576,"")</f>
        <v>Manpower</v>
      </c>
      <c r="J464" s="5" t="s">
        <v>38</v>
      </c>
      <c r="K464" s="5" t="s">
        <v>7</v>
      </c>
      <c r="L464" s="5" t="s">
        <v>39</v>
      </c>
      <c r="M464" s="5" t="s">
        <v>18</v>
      </c>
      <c r="N464" s="6">
        <v>10</v>
      </c>
      <c r="O464" s="5" t="s">
        <v>35</v>
      </c>
      <c r="P464" s="5" t="s">
        <v>35</v>
      </c>
      <c r="Q464" s="5" t="s">
        <v>35</v>
      </c>
      <c r="R464" s="5" t="s">
        <v>19</v>
      </c>
      <c r="S464" s="8"/>
    </row>
    <row r="465" spans="1:19" x14ac:dyDescent="0.3">
      <c r="A465" s="9" t="e">
        <f>IF(C465="","",MAX($A$2:A464)+1)</f>
        <v>#REF!</v>
      </c>
      <c r="B465" s="17" t="s">
        <v>36</v>
      </c>
      <c r="C465" s="11">
        <v>46099</v>
      </c>
      <c r="D465" s="13" t="str">
        <f>_xlfn.XLOOKUP([1]!Table134526_79101120212223242526[[#This Row],[Name Surname]],[1]Manpower!$C$4:$C$1048576,[1]Manpower!$B$4:$B$1048576,"")</f>
        <v>Encogroup</v>
      </c>
      <c r="E465" s="13" t="s">
        <v>112</v>
      </c>
      <c r="F465" s="12">
        <f>_xlfn.XLOOKUP([1]!Table134526_79101120212223242526[[#This Row],[Name Surname]],[1]Manpower!C:C,[1]Manpower!D:D,)</f>
        <v>140697025</v>
      </c>
      <c r="G465" s="13" t="str">
        <f>_xlfn.XLOOKUP([1]!Table134526_79101120212223242526[[#This Row],[Name Surname]],[1]Manpower!$C$4:$C$1048576,[1]Manpower!$F$4:$F$1048576,"")</f>
        <v>Assistant/Helper</v>
      </c>
      <c r="H465" s="13" t="str">
        <f>_xlfn.XLOOKUP([1]!Table134526_79101120212223242526[[#This Row],[Name Surname]],[1]Manpower!$C$4:$C$1048576,[1]Manpower!$H$4:$H$1048576,"")</f>
        <v>Manpower</v>
      </c>
      <c r="I465" s="13" t="str">
        <f>_xlfn.XLOOKUP([1]!Table134526_79101120212223242526[[#This Row],[Name Surname]],[1]Manpower!$C$4:$C$1048576,[1]Manpower!$H$4:$H$1048576,"")</f>
        <v>Manpower</v>
      </c>
      <c r="J465" s="13" t="s">
        <v>38</v>
      </c>
      <c r="K465" s="13" t="s">
        <v>7</v>
      </c>
      <c r="L465" s="13" t="s">
        <v>39</v>
      </c>
      <c r="M465" s="13" t="s">
        <v>18</v>
      </c>
      <c r="N465" s="14">
        <v>10</v>
      </c>
      <c r="O465" s="13" t="s">
        <v>35</v>
      </c>
      <c r="P465" s="13" t="s">
        <v>35</v>
      </c>
      <c r="Q465" s="13" t="s">
        <v>35</v>
      </c>
      <c r="R465" s="13" t="s">
        <v>19</v>
      </c>
      <c r="S465" s="15"/>
    </row>
    <row r="466" spans="1:19" x14ac:dyDescent="0.3">
      <c r="A466" s="1" t="e">
        <f>IF(C466="","",MAX($A$2:A465)+1)</f>
        <v>#REF!</v>
      </c>
      <c r="B466" s="17" t="s">
        <v>36</v>
      </c>
      <c r="C466" s="3">
        <v>46099</v>
      </c>
      <c r="D466" s="5" t="str">
        <f>_xlfn.XLOOKUP([1]!Table134526_79101120212223242526[[#This Row],[Name Surname]],[1]Manpower!$C$4:$C$1048576,[1]Manpower!$B$4:$B$1048576,"")</f>
        <v>Encogroup</v>
      </c>
      <c r="E466" s="3" t="s">
        <v>52</v>
      </c>
      <c r="F466" s="4">
        <f>_xlfn.XLOOKUP([1]!Table134526_79101120212223242526[[#This Row],[Name Surname]],[1]Manpower!C:C,[1]Manpower!D:D,)</f>
        <v>141169052</v>
      </c>
      <c r="G466" s="5" t="str">
        <f>_xlfn.XLOOKUP([1]!Table134526_79101120212223242526[[#This Row],[Name Surname]],[1]Manpower!$C$4:$C$1048576,[1]Manpower!$F$4:$F$1048576,"")</f>
        <v>Welder</v>
      </c>
      <c r="H466" s="5" t="str">
        <f>_xlfn.XLOOKUP([1]!Table134526_79101120212223242526[[#This Row],[Name Surname]],[1]Manpower!$C$4:$C$1048576,[1]Manpower!$H$4:$H$1048576,"")</f>
        <v>Manpower</v>
      </c>
      <c r="I466" s="5" t="str">
        <f>_xlfn.XLOOKUP([1]!Table134526_79101120212223242526[[#This Row],[Name Surname]],[1]Manpower!$C$4:$C$1048576,[1]Manpower!$H$4:$H$1048576,"")</f>
        <v>Manpower</v>
      </c>
      <c r="J466" s="5" t="s">
        <v>38</v>
      </c>
      <c r="K466" s="5" t="s">
        <v>7</v>
      </c>
      <c r="L466" s="5" t="s">
        <v>39</v>
      </c>
      <c r="M466" s="5" t="s">
        <v>5</v>
      </c>
      <c r="N466" s="6">
        <v>10</v>
      </c>
      <c r="O466" s="5" t="s">
        <v>33</v>
      </c>
      <c r="P466" s="5" t="s">
        <v>33</v>
      </c>
      <c r="Q466" s="5" t="s">
        <v>33</v>
      </c>
      <c r="R466" s="5" t="s">
        <v>7</v>
      </c>
      <c r="S466" s="8"/>
    </row>
    <row r="467" spans="1:19" x14ac:dyDescent="0.3">
      <c r="A467" s="9" t="e">
        <f>IF(C467="","",MAX($A$2:A466)+1)</f>
        <v>#REF!</v>
      </c>
      <c r="B467" s="17" t="s">
        <v>36</v>
      </c>
      <c r="C467" s="11">
        <v>46099</v>
      </c>
      <c r="D467" s="13" t="str">
        <f>_xlfn.XLOOKUP([1]!Table134526_79101120212223242526[[#This Row],[Name Surname]],[1]Manpower!$C$4:$C$1048576,[1]Manpower!$B$4:$B$1048576,"")</f>
        <v>Encogroup</v>
      </c>
      <c r="E467" s="13" t="s">
        <v>53</v>
      </c>
      <c r="F467" s="12">
        <f>_xlfn.XLOOKUP([1]!Table134526_79101120212223242526[[#This Row],[Name Surname]],[1]Manpower!C:C,[1]Manpower!D:D,)</f>
        <v>141365075</v>
      </c>
      <c r="G467" s="13" t="str">
        <f>_xlfn.XLOOKUP([1]!Table134526_79101120212223242526[[#This Row],[Name Surname]],[1]Manpower!$C$4:$C$1048576,[1]Manpower!$F$4:$F$1048576,"")</f>
        <v>Helper</v>
      </c>
      <c r="H467" s="13" t="str">
        <f>_xlfn.XLOOKUP([1]!Table134526_79101120212223242526[[#This Row],[Name Surname]],[1]Manpower!$C$4:$C$1048576,[1]Manpower!$H$4:$H$1048576,"")</f>
        <v>Manpower</v>
      </c>
      <c r="I467" s="13" t="str">
        <f>_xlfn.XLOOKUP([1]!Table134526_79101120212223242526[[#This Row],[Name Surname]],[1]Manpower!$C$4:$C$1048576,[1]Manpower!$H$4:$H$1048576,"")</f>
        <v>Manpower</v>
      </c>
      <c r="J467" s="13" t="s">
        <v>38</v>
      </c>
      <c r="K467" s="13" t="s">
        <v>7</v>
      </c>
      <c r="L467" s="13" t="s">
        <v>39</v>
      </c>
      <c r="M467" s="13" t="s">
        <v>5</v>
      </c>
      <c r="N467" s="14">
        <v>10</v>
      </c>
      <c r="O467" s="13" t="s">
        <v>33</v>
      </c>
      <c r="P467" s="13" t="s">
        <v>33</v>
      </c>
      <c r="Q467" s="13" t="s">
        <v>33</v>
      </c>
      <c r="R467" s="13" t="s">
        <v>7</v>
      </c>
      <c r="S467" s="15"/>
    </row>
    <row r="468" spans="1:19" x14ac:dyDescent="0.3">
      <c r="A468" s="1" t="e">
        <f>IF(C468="","",MAX($A$2:A467)+1)</f>
        <v>#REF!</v>
      </c>
      <c r="B468" s="17" t="s">
        <v>36</v>
      </c>
      <c r="C468" s="3">
        <v>46099</v>
      </c>
      <c r="D468" s="5" t="str">
        <f>_xlfn.XLOOKUP([1]!Table134526_79101120212223242526[[#This Row],[Name Surname]],[1]Manpower!$C$4:$C$1048576,[1]Manpower!$B$4:$B$1048576,"")</f>
        <v>SARENS NASS</v>
      </c>
      <c r="E468" s="5" t="s">
        <v>54</v>
      </c>
      <c r="F468" s="4">
        <f>_xlfn.XLOOKUP([1]!Table134526_79101120212223242526[[#This Row],[Name Surname]],[1]Manpower!C:C,[1]Manpower!D:D,)</f>
        <v>79502392</v>
      </c>
      <c r="G468" s="5" t="str">
        <f>_xlfn.XLOOKUP([1]!Table134526_79101120212223242526[[#This Row],[Name Surname]],[1]Manpower!$C$4:$C$1048576,[1]Manpower!$F$4:$F$1048576,"")</f>
        <v>Crane Operator- 70T Liebherr Telescopic Crane-01</v>
      </c>
      <c r="H468" s="5" t="str">
        <f>_xlfn.XLOOKUP([1]!Table134526_79101120212223242526[[#This Row],[Name Surname]],[1]Manpower!$C$4:$C$1048576,[1]Manpower!$H$4:$H$1048576,"")</f>
        <v>Manpower</v>
      </c>
      <c r="I468" s="5" t="str">
        <f>_xlfn.XLOOKUP([1]!Table134526_79101120212223242526[[#This Row],[Name Surname]],[1]Manpower!$C$4:$C$1048576,[1]Manpower!$H$4:$H$1048576,"")</f>
        <v>Manpower</v>
      </c>
      <c r="J468" s="5" t="s">
        <v>38</v>
      </c>
      <c r="K468" s="5" t="s">
        <v>7</v>
      </c>
      <c r="L468" s="5" t="s">
        <v>39</v>
      </c>
      <c r="M468" s="5" t="s">
        <v>5</v>
      </c>
      <c r="N468" s="6">
        <v>10</v>
      </c>
      <c r="O468" s="5" t="s">
        <v>33</v>
      </c>
      <c r="P468" s="5" t="s">
        <v>33</v>
      </c>
      <c r="Q468" s="5" t="s">
        <v>33</v>
      </c>
      <c r="R468" s="5" t="s">
        <v>7</v>
      </c>
      <c r="S468" s="8"/>
    </row>
    <row r="469" spans="1:19" x14ac:dyDescent="0.3">
      <c r="A469" s="9" t="e">
        <f>IF(C469="","",MAX($A$2:A468)+1)</f>
        <v>#REF!</v>
      </c>
      <c r="B469" s="17" t="s">
        <v>36</v>
      </c>
      <c r="C469" s="11">
        <v>46099</v>
      </c>
      <c r="D469" s="13" t="str">
        <f>_xlfn.XLOOKUP([1]!Table134526_79101120212223242526[[#This Row],[Name Surname]],[1]Manpower!$C$4:$C$1048576,[1]Manpower!$B$4:$B$1048576,"")</f>
        <v>Encogroup</v>
      </c>
      <c r="E469" s="13" t="s">
        <v>55</v>
      </c>
      <c r="F469" s="12">
        <f>_xlfn.XLOOKUP([1]!Table134526_79101120212223242526[[#This Row],[Name Surname]],[1]Manpower!C:C,[1]Manpower!D:D,)</f>
        <v>141358993</v>
      </c>
      <c r="G469" s="13" t="str">
        <f>_xlfn.XLOOKUP([1]!Table134526_79101120212223242526[[#This Row],[Name Surname]],[1]Manpower!$C$4:$C$1048576,[1]Manpower!$F$4:$F$1048576,"")</f>
        <v>Fitter</v>
      </c>
      <c r="H469" s="13" t="str">
        <f>_xlfn.XLOOKUP([1]!Table134526_79101120212223242526[[#This Row],[Name Surname]],[1]Manpower!$C$4:$C$1048576,[1]Manpower!$H$4:$H$1048576,"")</f>
        <v>Manpower</v>
      </c>
      <c r="I469" s="13" t="str">
        <f>_xlfn.XLOOKUP([1]!Table134526_79101120212223242526[[#This Row],[Name Surname]],[1]Manpower!$C$4:$C$1048576,[1]Manpower!$H$4:$H$1048576,"")</f>
        <v>Manpower</v>
      </c>
      <c r="J469" s="13" t="s">
        <v>38</v>
      </c>
      <c r="K469" s="13" t="s">
        <v>7</v>
      </c>
      <c r="L469" s="13" t="s">
        <v>39</v>
      </c>
      <c r="M469" s="13" t="s">
        <v>5</v>
      </c>
      <c r="N469" s="14">
        <v>10</v>
      </c>
      <c r="O469" s="13" t="s">
        <v>33</v>
      </c>
      <c r="P469" s="13" t="s">
        <v>33</v>
      </c>
      <c r="Q469" s="13" t="s">
        <v>33</v>
      </c>
      <c r="R469" s="13" t="s">
        <v>7</v>
      </c>
      <c r="S469" s="15"/>
    </row>
    <row r="470" spans="1:19" x14ac:dyDescent="0.3">
      <c r="A470" s="1" t="e">
        <f>IF(C470="","",MAX($A$2:A469)+1)</f>
        <v>#REF!</v>
      </c>
      <c r="B470" s="17" t="s">
        <v>36</v>
      </c>
      <c r="C470" s="3">
        <v>46099</v>
      </c>
      <c r="D470" s="5" t="str">
        <f>_xlfn.XLOOKUP([1]!Table134526_79101120212223242526[[#This Row],[Name Surname]],[1]Manpower!$C$4:$C$1048576,[1]Manpower!$B$4:$B$1048576,"")</f>
        <v>Encogroup</v>
      </c>
      <c r="E470" s="5" t="s">
        <v>56</v>
      </c>
      <c r="F470" s="4" t="str">
        <f>_xlfn.XLOOKUP([1]!Table134526_79101120212223242526[[#This Row],[Name Surname]],[1]Manpower!C:C,[1]Manpower!D:D,)</f>
        <v>R3971143</v>
      </c>
      <c r="G470" s="5" t="str">
        <f>_xlfn.XLOOKUP([1]!Table134526_79101120212223242526[[#This Row],[Name Surname]],[1]Manpower!$C$4:$C$1048576,[1]Manpower!$F$4:$F$1048576,"")</f>
        <v>Mechanical Foreman</v>
      </c>
      <c r="H470" s="5" t="str">
        <f>_xlfn.XLOOKUP([1]!Table134526_79101120212223242526[[#This Row],[Name Surname]],[1]Manpower!$C$4:$C$1048576,[1]Manpower!$H$4:$H$1048576,"")</f>
        <v>Manpower</v>
      </c>
      <c r="I470" s="5" t="str">
        <f>_xlfn.XLOOKUP([1]!Table134526_79101120212223242526[[#This Row],[Name Surname]],[1]Manpower!$C$4:$C$1048576,[1]Manpower!$H$4:$H$1048576,"")</f>
        <v>Manpower</v>
      </c>
      <c r="J470" s="5" t="s">
        <v>38</v>
      </c>
      <c r="K470" s="5" t="s">
        <v>7</v>
      </c>
      <c r="L470" s="5" t="s">
        <v>39</v>
      </c>
      <c r="M470" s="5" t="s">
        <v>5</v>
      </c>
      <c r="N470" s="6">
        <v>10</v>
      </c>
      <c r="O470" s="5" t="s">
        <v>33</v>
      </c>
      <c r="P470" s="5" t="s">
        <v>33</v>
      </c>
      <c r="Q470" s="5" t="s">
        <v>33</v>
      </c>
      <c r="R470" s="5" t="s">
        <v>7</v>
      </c>
      <c r="S470" s="8"/>
    </row>
    <row r="471" spans="1:19" x14ac:dyDescent="0.3">
      <c r="A471" s="9" t="e">
        <f>IF(C471="","",MAX($A$2:A470)+1)</f>
        <v>#REF!</v>
      </c>
      <c r="B471" s="17" t="s">
        <v>36</v>
      </c>
      <c r="C471" s="11">
        <v>46099</v>
      </c>
      <c r="D471" s="13" t="str">
        <f>_xlfn.XLOOKUP([1]!Table134526_79101120212223242526[[#This Row],[Name Surname]],[1]Manpower!$C$4:$C$1048576,[1]Manpower!$B$4:$B$1048576,"")</f>
        <v>Encogroup</v>
      </c>
      <c r="E471" s="13" t="s">
        <v>111</v>
      </c>
      <c r="F471" s="12">
        <f>_xlfn.XLOOKUP([1]!Table134526_79101120212223242526[[#This Row],[Name Surname]],[1]Manpower!C:C,[1]Manpower!D:D,)</f>
        <v>116858297</v>
      </c>
      <c r="G471" s="13" t="str">
        <f>_xlfn.XLOOKUP([1]!Table134526_79101120212223242526[[#This Row],[Name Surname]],[1]Manpower!$C$4:$C$1048576,[1]Manpower!$F$4:$F$1048576,"")</f>
        <v>Mechanical Superintendent</v>
      </c>
      <c r="H471" s="13" t="str">
        <f>_xlfn.XLOOKUP([1]!Table134526_79101120212223242526[[#This Row],[Name Surname]],[1]Manpower!$C$4:$C$1048576,[1]Manpower!$H$4:$H$1048576,"")</f>
        <v>Manpower</v>
      </c>
      <c r="I471" s="13" t="str">
        <f>_xlfn.XLOOKUP([1]!Table134526_79101120212223242526[[#This Row],[Name Surname]],[1]Manpower!$C$4:$C$1048576,[1]Manpower!$H$4:$H$1048576,"")</f>
        <v>Manpower</v>
      </c>
      <c r="J471" s="13" t="s">
        <v>38</v>
      </c>
      <c r="K471" s="13" t="s">
        <v>7</v>
      </c>
      <c r="L471" s="13" t="s">
        <v>39</v>
      </c>
      <c r="M471" s="13" t="s">
        <v>18</v>
      </c>
      <c r="N471" s="14">
        <v>10</v>
      </c>
      <c r="O471" s="13"/>
      <c r="P471" s="13"/>
      <c r="Q471" s="13"/>
      <c r="R471" s="13" t="s">
        <v>19</v>
      </c>
      <c r="S471" s="15"/>
    </row>
    <row r="472" spans="1:19" x14ac:dyDescent="0.3">
      <c r="A472" s="1" t="e">
        <f>IF(C472="","",MAX($A$2:A471)+1)</f>
        <v>#REF!</v>
      </c>
      <c r="B472" s="17" t="s">
        <v>36</v>
      </c>
      <c r="C472" s="3">
        <v>46099</v>
      </c>
      <c r="D472" s="5" t="str">
        <f>_xlfn.XLOOKUP([1]!Table134526_79101120212223242526[[#This Row],[Name Surname]],[1]Manpower!$C$4:$C$1048576,[1]Manpower!$B$4:$B$1048576,"")</f>
        <v>Encogroup</v>
      </c>
      <c r="E472" s="5" t="s">
        <v>112</v>
      </c>
      <c r="F472" s="4">
        <f>_xlfn.XLOOKUP([1]!Table134526_79101120212223242526[[#This Row],[Name Surname]],[1]Manpower!C:C,[1]Manpower!D:D,)</f>
        <v>123805496</v>
      </c>
      <c r="G472" s="5" t="str">
        <f>_xlfn.XLOOKUP([1]!Table134526_79101120212223242526[[#This Row],[Name Surname]],[1]Manpower!$C$4:$C$1048576,[1]Manpower!$F$4:$F$1048576,"")</f>
        <v>Fitter/Erector</v>
      </c>
      <c r="H472" s="5" t="str">
        <f>_xlfn.XLOOKUP([1]!Table134526_79101120212223242526[[#This Row],[Name Surname]],[1]Manpower!$C$4:$C$1048576,[1]Manpower!$H$4:$H$1048576,"")</f>
        <v>Manpower</v>
      </c>
      <c r="I472" s="5" t="str">
        <f>_xlfn.XLOOKUP([1]!Table134526_79101120212223242526[[#This Row],[Name Surname]],[1]Manpower!$C$4:$C$1048576,[1]Manpower!$H$4:$H$1048576,"")</f>
        <v>Manpower</v>
      </c>
      <c r="J472" s="5" t="s">
        <v>38</v>
      </c>
      <c r="K472" s="5" t="s">
        <v>7</v>
      </c>
      <c r="L472" s="5" t="s">
        <v>39</v>
      </c>
      <c r="M472" s="5" t="s">
        <v>18</v>
      </c>
      <c r="N472" s="6">
        <v>10</v>
      </c>
      <c r="O472" s="5"/>
      <c r="P472" s="5"/>
      <c r="Q472" s="5"/>
      <c r="R472" s="5" t="s">
        <v>19</v>
      </c>
      <c r="S472" s="8"/>
    </row>
    <row r="473" spans="1:19" x14ac:dyDescent="0.3">
      <c r="A473" s="9" t="e">
        <f>IF(C473="","",MAX($A$2:A470)+1)</f>
        <v>#REF!</v>
      </c>
      <c r="B473" s="17" t="s">
        <v>36</v>
      </c>
      <c r="C473" s="11">
        <v>46099</v>
      </c>
      <c r="D473" s="13" t="str">
        <f>_xlfn.XLOOKUP([1]!Table134526_79101120212223242526[[#This Row],[Name Surname]],[1]Manpower!$C$4:$C$1048576,[1]Manpower!$B$4:$B$1048576,"")</f>
        <v>Encogroup</v>
      </c>
      <c r="E473" s="13" t="s">
        <v>57</v>
      </c>
      <c r="F473" s="12">
        <f>_xlfn.XLOOKUP([1]!Table134526_79101120212223242526[[#This Row],[Name Surname]],[1]Manpower!C:C,[1]Manpower!D:D,)</f>
        <v>136277866</v>
      </c>
      <c r="G473" s="13" t="str">
        <f>_xlfn.XLOOKUP([1]!Table134526_79101120212223242526[[#This Row],[Name Surname]],[1]Manpower!$C$4:$C$1048576,[1]Manpower!$F$4:$F$1048576,"")</f>
        <v>Permit Receiver</v>
      </c>
      <c r="H473" s="13" t="str">
        <f>_xlfn.XLOOKUP([1]!Table134526_79101120212223242526[[#This Row],[Name Surname]],[1]Manpower!$C$4:$C$1048576,[1]Manpower!$H$4:$H$1048576,"")</f>
        <v>Manpower</v>
      </c>
      <c r="I473" s="13" t="str">
        <f>_xlfn.XLOOKUP([1]!Table134526_79101120212223242526[[#This Row],[Name Surname]],[1]Manpower!$C$4:$C$1048576,[1]Manpower!$H$4:$H$1048576,"")</f>
        <v>Manpower</v>
      </c>
      <c r="J473" s="13" t="s">
        <v>38</v>
      </c>
      <c r="K473" s="13" t="s">
        <v>7</v>
      </c>
      <c r="L473" s="13" t="s">
        <v>39</v>
      </c>
      <c r="M473" s="13" t="s">
        <v>5</v>
      </c>
      <c r="N473" s="14">
        <v>8</v>
      </c>
      <c r="O473" s="13" t="s">
        <v>11</v>
      </c>
      <c r="P473" s="13" t="s">
        <v>13</v>
      </c>
      <c r="Q473" s="13" t="s">
        <v>13</v>
      </c>
      <c r="R473" s="13" t="s">
        <v>7</v>
      </c>
      <c r="S473" s="15"/>
    </row>
    <row r="474" spans="1:19" x14ac:dyDescent="0.3">
      <c r="A474" s="1" t="e">
        <f>IF(C474="","",MAX($A$2:A473)+1)</f>
        <v>#REF!</v>
      </c>
      <c r="B474" s="17" t="s">
        <v>36</v>
      </c>
      <c r="C474" s="3">
        <v>46099</v>
      </c>
      <c r="D474" s="5" t="str">
        <f>_xlfn.XLOOKUP([1]!Table134526_79101120212223242526[[#This Row],[Name Surname]],[1]Manpower!$C$4:$C$1048576,[1]Manpower!$B$4:$B$1048576,"")</f>
        <v>Encogroup</v>
      </c>
      <c r="E474" s="5" t="s">
        <v>111</v>
      </c>
      <c r="F474" s="4">
        <f>_xlfn.XLOOKUP([1]!Table134526_79101120212223242526[[#This Row],[Name Surname]],[1]Manpower!C:C,[1]Manpower!D:D,)</f>
        <v>120653364</v>
      </c>
      <c r="G474" s="5" t="str">
        <f>_xlfn.XLOOKUP([1]!Table134526_79101120212223242526[[#This Row],[Name Surname]],[1]Manpower!$C$4:$C$1048576,[1]Manpower!$F$4:$F$1048576,"")</f>
        <v>Surveyor</v>
      </c>
      <c r="H474" s="5" t="str">
        <f>_xlfn.XLOOKUP([1]!Table134526_79101120212223242526[[#This Row],[Name Surname]],[1]Manpower!$C$4:$C$1048576,[1]Manpower!$H$4:$H$1048576,"")</f>
        <v>Manpower</v>
      </c>
      <c r="I474" s="5" t="str">
        <f>_xlfn.XLOOKUP([1]!Table134526_79101120212223242526[[#This Row],[Name Surname]],[1]Manpower!$C$4:$C$1048576,[1]Manpower!$H$4:$H$1048576,"")</f>
        <v>Manpower</v>
      </c>
      <c r="J474" s="5"/>
      <c r="K474" s="5"/>
      <c r="L474" s="5"/>
      <c r="M474" s="5"/>
      <c r="N474" s="6"/>
      <c r="O474" s="5"/>
      <c r="P474" s="5"/>
      <c r="Q474" s="5"/>
      <c r="R474" s="5"/>
      <c r="S474" s="8"/>
    </row>
    <row r="475" spans="1:19" x14ac:dyDescent="0.3">
      <c r="A475" s="9" t="e">
        <f>IF(C475="","",MAX($A$2:A473)+1)</f>
        <v>#REF!</v>
      </c>
      <c r="B475" s="17" t="s">
        <v>36</v>
      </c>
      <c r="C475" s="11">
        <v>46099</v>
      </c>
      <c r="D475" s="13" t="str">
        <f>_xlfn.XLOOKUP([1]!Table134526_79101120212223242526[[#This Row],[Name Surname]],[1]Manpower!$C$4:$C$1048576,[1]Manpower!$B$4:$B$1048576,"")</f>
        <v>Encogroup</v>
      </c>
      <c r="E475" s="13" t="s">
        <v>112</v>
      </c>
      <c r="F475" s="12">
        <f>_xlfn.XLOOKUP([1]!Table134526_79101120212223242526[[#This Row],[Name Surname]],[1]Manpower!C:C,[1]Manpower!D:D,)</f>
        <v>140663253</v>
      </c>
      <c r="G475" s="13" t="str">
        <f>_xlfn.XLOOKUP([1]!Table134526_79101120212223242526[[#This Row],[Name Surname]],[1]Manpower!$C$4:$C$1048576,[1]Manpower!$F$4:$F$1048576,"")</f>
        <v>Painting Inspector</v>
      </c>
      <c r="H475" s="13" t="str">
        <f>_xlfn.XLOOKUP([1]!Table134526_79101120212223242526[[#This Row],[Name Surname]],[1]Manpower!$C$4:$C$1048576,[1]Manpower!$H$4:$H$1048576,"")</f>
        <v>Manpower</v>
      </c>
      <c r="I475" s="13" t="str">
        <f>_xlfn.XLOOKUP([1]!Table134526_79101120212223242526[[#This Row],[Name Surname]],[1]Manpower!$C$4:$C$1048576,[1]Manpower!$H$4:$H$1048576,"")</f>
        <v>Manpower</v>
      </c>
      <c r="J475" s="13"/>
      <c r="K475" s="13"/>
      <c r="L475" s="13"/>
      <c r="M475" s="13"/>
      <c r="N475" s="14"/>
      <c r="O475" s="13"/>
      <c r="P475" s="13"/>
      <c r="Q475" s="13"/>
      <c r="R475" s="13"/>
      <c r="S475" s="15"/>
    </row>
    <row r="476" spans="1:19" x14ac:dyDescent="0.3">
      <c r="A476" s="1" t="e">
        <f>IF(C476="","",MAX($A$2:A473)+1)</f>
        <v>#REF!</v>
      </c>
      <c r="B476" s="17" t="s">
        <v>36</v>
      </c>
      <c r="C476" s="3">
        <v>46099</v>
      </c>
      <c r="D476" s="5" t="str">
        <f>_xlfn.XLOOKUP([1]!Table134526_79101120212223242526[[#This Row],[Name Surname]],[1]Manpower!$C$4:$C$1048576,[1]Manpower!$B$4:$B$1048576,"")</f>
        <v>Encogroup</v>
      </c>
      <c r="E476" s="5" t="s">
        <v>123</v>
      </c>
      <c r="F476" s="4">
        <f>_xlfn.XLOOKUP([1]!Table134526_79101120212223242526[[#This Row],[Name Surname]],[1]Manpower!C:C,[1]Manpower!D:D,)</f>
        <v>140844604</v>
      </c>
      <c r="G476" s="5" t="str">
        <f>_xlfn.XLOOKUP([1]!Table134526_79101120212223242526[[#This Row],[Name Surname]],[1]Manpower!$C$4:$C$1048576,[1]Manpower!$F$4:$F$1048576,"")</f>
        <v>Painter</v>
      </c>
      <c r="H476" s="5" t="str">
        <f>_xlfn.XLOOKUP([1]!Table134526_79101120212223242526[[#This Row],[Name Surname]],[1]Manpower!$C$4:$C$1048576,[1]Manpower!$H$4:$H$1048576,"")</f>
        <v>Manpower</v>
      </c>
      <c r="I476" s="5" t="str">
        <f>_xlfn.XLOOKUP([1]!Table134526_79101120212223242526[[#This Row],[Name Surname]],[1]Manpower!$C$4:$C$1048576,[1]Manpower!$H$4:$H$1048576,"")</f>
        <v>Manpower</v>
      </c>
      <c r="J476" s="5" t="s">
        <v>38</v>
      </c>
      <c r="K476" s="5" t="s">
        <v>7</v>
      </c>
      <c r="L476" s="5" t="s">
        <v>39</v>
      </c>
      <c r="M476" s="5" t="s">
        <v>5</v>
      </c>
      <c r="N476" s="6">
        <v>8</v>
      </c>
      <c r="O476" s="5" t="s">
        <v>11</v>
      </c>
      <c r="P476" s="5" t="s">
        <v>13</v>
      </c>
      <c r="Q476" s="5" t="s">
        <v>13</v>
      </c>
      <c r="R476" s="5" t="s">
        <v>7</v>
      </c>
      <c r="S476" s="8"/>
    </row>
    <row r="477" spans="1:19" x14ac:dyDescent="0.3">
      <c r="A477" s="9" t="e">
        <f>IF(C477="","",MAX($A$2:A476)+1)</f>
        <v>#REF!</v>
      </c>
      <c r="B477" s="17" t="s">
        <v>36</v>
      </c>
      <c r="C477" s="11">
        <v>46099</v>
      </c>
      <c r="D477" s="13" t="str">
        <f>_xlfn.XLOOKUP([1]!Table134526_79101120212223242526[[#This Row],[Name Surname]],[1]Manpower!$C$4:$C$1048576,[1]Manpower!$B$4:$B$1048576,"")</f>
        <v>Encogroup</v>
      </c>
      <c r="E477" s="11" t="s">
        <v>58</v>
      </c>
      <c r="F477" s="12">
        <f>_xlfn.XLOOKUP([1]!Table134526_79101120212223242526[[#This Row],[Name Surname]],[1]Manpower!C:C,[1]Manpower!D:D,)</f>
        <v>140844783</v>
      </c>
      <c r="G477" s="13" t="str">
        <f>_xlfn.XLOOKUP([1]!Table134526_79101120212223242526[[#This Row],[Name Surname]],[1]Manpower!$C$4:$C$1048576,[1]Manpower!$F$4:$F$1048576,"")</f>
        <v>Painter</v>
      </c>
      <c r="H477" s="13" t="str">
        <f>_xlfn.XLOOKUP([1]!Table134526_79101120212223242526[[#This Row],[Name Surname]],[1]Manpower!$C$4:$C$1048576,[1]Manpower!$H$4:$H$1048576,"")</f>
        <v>Manpower</v>
      </c>
      <c r="I477" s="13" t="str">
        <f>_xlfn.XLOOKUP([1]!Table134526_79101120212223242526[[#This Row],[Name Surname]],[1]Manpower!$C$4:$C$1048576,[1]Manpower!$H$4:$H$1048576,"")</f>
        <v>Manpower</v>
      </c>
      <c r="J477" s="13" t="s">
        <v>38</v>
      </c>
      <c r="K477" s="13" t="s">
        <v>7</v>
      </c>
      <c r="L477" s="13" t="s">
        <v>39</v>
      </c>
      <c r="M477" s="13" t="s">
        <v>18</v>
      </c>
      <c r="N477" s="14">
        <v>10</v>
      </c>
      <c r="O477" s="13"/>
      <c r="P477" s="13"/>
      <c r="Q477" s="13"/>
      <c r="R477" s="13" t="s">
        <v>19</v>
      </c>
      <c r="S477" s="15"/>
    </row>
    <row r="478" spans="1:19" x14ac:dyDescent="0.3">
      <c r="A478" s="1" t="e">
        <f>IF(C478="","",MAX($A$2:A477)+1)</f>
        <v>#REF!</v>
      </c>
      <c r="B478" s="17" t="s">
        <v>36</v>
      </c>
      <c r="C478" s="3">
        <v>46099</v>
      </c>
      <c r="D478" s="5" t="str">
        <f>_xlfn.XLOOKUP([1]!Table134526_79101120212223242526[[#This Row],[Name Surname]],[1]Manpower!$C$4:$C$1048576,[1]Manpower!$B$4:$B$1048576,"")</f>
        <v>Encogroup</v>
      </c>
      <c r="E478" s="3" t="s">
        <v>59</v>
      </c>
      <c r="F478" s="4" t="str">
        <f>_xlfn.XLOOKUP([1]!Table134526_79101120212223242526[[#This Row],[Name Surname]],[1]Manpower!C:C,[1]Manpower!D:D,)</f>
        <v>AG111207</v>
      </c>
      <c r="G478" s="5" t="str">
        <f>_xlfn.XLOOKUP([1]!Table134526_79101120212223242526[[#This Row],[Name Surname]],[1]Manpower!$C$4:$C$1048576,[1]Manpower!$F$4:$F$1048576,"")</f>
        <v>Assistant/Helper</v>
      </c>
      <c r="H478" s="5" t="str">
        <f>_xlfn.XLOOKUP([1]!Table134526_79101120212223242526[[#This Row],[Name Surname]],[1]Manpower!$C$4:$C$1048576,[1]Manpower!$H$4:$H$1048576,"")</f>
        <v>Manpower</v>
      </c>
      <c r="I478" s="5" t="str">
        <f>_xlfn.XLOOKUP([1]!Table134526_79101120212223242526[[#This Row],[Name Surname]],[1]Manpower!$C$4:$C$1048576,[1]Manpower!$H$4:$H$1048576,"")</f>
        <v>Manpower</v>
      </c>
      <c r="J478" s="5" t="s">
        <v>38</v>
      </c>
      <c r="K478" s="5" t="s">
        <v>7</v>
      </c>
      <c r="L478" s="5" t="s">
        <v>39</v>
      </c>
      <c r="M478" s="5" t="s">
        <v>18</v>
      </c>
      <c r="N478" s="6">
        <v>10</v>
      </c>
      <c r="O478" s="5"/>
      <c r="P478" s="5"/>
      <c r="Q478" s="5"/>
      <c r="R478" s="5" t="s">
        <v>19</v>
      </c>
      <c r="S478" s="8"/>
    </row>
    <row r="479" spans="1:19" x14ac:dyDescent="0.3">
      <c r="A479" s="9" t="e">
        <f>IF(C479="","",MAX($A$2:A478)+1)</f>
        <v>#REF!</v>
      </c>
      <c r="B479" s="2" t="s">
        <v>0</v>
      </c>
      <c r="C479" s="11">
        <v>46100</v>
      </c>
      <c r="D479" s="13" t="str">
        <f>_xlfn.XLOOKUP([1]!Table134526_79101120212223242526[[#This Row],[Name Surname]],[1]Manpower!$C$4:$C$1048576,[1]Manpower!$B$4:$B$1048576,"")</f>
        <v>Encogroup</v>
      </c>
      <c r="E479" s="13" t="s">
        <v>1</v>
      </c>
      <c r="F479" s="12">
        <f>_xlfn.XLOOKUP([1]!Table134526_79101120212223242526[[#This Row],[Name Surname]],[1]Manpower!C:C,[1]Manpower!D:D,)</f>
        <v>140844778</v>
      </c>
      <c r="G479" s="13" t="str">
        <f>_xlfn.XLOOKUP([1]!Table134526_79101120212223242526[[#This Row],[Name Surname]],[1]Manpower!$C$4:$C$1048576,[1]Manpower!$F$4:$F$1048576,"")</f>
        <v>Painter</v>
      </c>
      <c r="H479" s="13" t="str">
        <f>_xlfn.XLOOKUP([1]!Table134526_79101120212223242526[[#This Row],[Name Surname]],[1]Manpower!$C$4:$C$1048576,[1]Manpower!$H$4:$H$1048576,"")</f>
        <v>Manpower</v>
      </c>
      <c r="I479" s="13" t="str">
        <f>_xlfn.XLOOKUP([1]!Table134526_79101120212223242526[[#This Row],[Name Surname]],[1]Manpower!$C$4:$C$1048576,[1]Manpower!$H$4:$H$1048576,"")</f>
        <v>Manpower</v>
      </c>
      <c r="J479" s="13" t="s">
        <v>2</v>
      </c>
      <c r="K479" s="13" t="s">
        <v>39</v>
      </c>
      <c r="L479" s="13" t="s">
        <v>10</v>
      </c>
      <c r="M479" s="13" t="s">
        <v>5</v>
      </c>
      <c r="N479" s="14">
        <v>8</v>
      </c>
      <c r="O479" s="13" t="s">
        <v>11</v>
      </c>
      <c r="P479" s="13" t="s">
        <v>12</v>
      </c>
      <c r="Q479" s="13" t="s">
        <v>13</v>
      </c>
      <c r="R479" s="13" t="s">
        <v>124</v>
      </c>
      <c r="S479" s="15"/>
    </row>
    <row r="480" spans="1:19" x14ac:dyDescent="0.3">
      <c r="A480" s="1" t="e">
        <f>IF(C480="","",MAX($A$2:A479)+1)</f>
        <v>#REF!</v>
      </c>
      <c r="B480" s="10" t="s">
        <v>0</v>
      </c>
      <c r="C480" s="3">
        <v>46100</v>
      </c>
      <c r="D480" s="5" t="str">
        <f>_xlfn.XLOOKUP([1]!Table134526_79101120212223242526[[#This Row],[Name Surname]],[1]Manpower!$C$4:$C$1048576,[1]Manpower!$B$4:$B$1048576,"")</f>
        <v>Encogroup</v>
      </c>
      <c r="E480" s="3" t="s">
        <v>61</v>
      </c>
      <c r="F480" s="4">
        <f>_xlfn.XLOOKUP([1]!Table134526_79101120212223242526[[#This Row],[Name Surname]],[1]Manpower!C:C,[1]Manpower!D:D,)</f>
        <v>141365037</v>
      </c>
      <c r="G480" s="5" t="str">
        <f>_xlfn.XLOOKUP([1]!Table134526_79101120212223242526[[#This Row],[Name Surname]],[1]Manpower!$C$4:$C$1048576,[1]Manpower!$F$4:$F$1048576,"")</f>
        <v>Painter</v>
      </c>
      <c r="H480" s="5" t="str">
        <f>_xlfn.XLOOKUP([1]!Table134526_79101120212223242526[[#This Row],[Name Surname]],[1]Manpower!$C$4:$C$1048576,[1]Manpower!$H$4:$H$1048576,"")</f>
        <v>Manpower</v>
      </c>
      <c r="I480" s="5" t="str">
        <f>_xlfn.XLOOKUP([1]!Table134526_79101120212223242526[[#This Row],[Name Surname]],[1]Manpower!$C$4:$C$1048576,[1]Manpower!$H$4:$H$1048576,"")</f>
        <v>Manpower</v>
      </c>
      <c r="J480" s="5" t="s">
        <v>9</v>
      </c>
      <c r="K480" s="5" t="s">
        <v>7</v>
      </c>
      <c r="L480" s="5" t="s">
        <v>10</v>
      </c>
      <c r="M480" s="5" t="s">
        <v>5</v>
      </c>
      <c r="N480" s="6">
        <v>10</v>
      </c>
      <c r="O480" s="5" t="s">
        <v>11</v>
      </c>
      <c r="P480" s="5" t="s">
        <v>12</v>
      </c>
      <c r="Q480" s="5" t="s">
        <v>13</v>
      </c>
      <c r="R480" s="5" t="s">
        <v>125</v>
      </c>
      <c r="S480" s="8"/>
    </row>
    <row r="481" spans="1:19" x14ac:dyDescent="0.3">
      <c r="A481" s="9" t="e">
        <f>IF(C481="","",MAX($A$2:A480)+1)</f>
        <v>#REF!</v>
      </c>
      <c r="B481" s="10" t="s">
        <v>0</v>
      </c>
      <c r="C481" s="11">
        <v>46100</v>
      </c>
      <c r="D481" s="13" t="str">
        <f>_xlfn.XLOOKUP([1]!Table134526_79101120212223242526[[#This Row],[Name Surname]],[1]Manpower!$C$4:$C$1048576,[1]Manpower!$B$4:$B$1048576,"")</f>
        <v>Encogroup</v>
      </c>
      <c r="E481" s="13" t="s">
        <v>8</v>
      </c>
      <c r="F481" s="12">
        <f>_xlfn.XLOOKUP([1]!Table134526_79101120212223242526[[#This Row],[Name Surname]],[1]Manpower!C:C,[1]Manpower!D:D,)</f>
        <v>141377709</v>
      </c>
      <c r="G481" s="13" t="str">
        <f>_xlfn.XLOOKUP([1]!Table134526_79101120212223242526[[#This Row],[Name Surname]],[1]Manpower!$C$4:$C$1048576,[1]Manpower!$F$4:$F$1048576,"")</f>
        <v>Helper</v>
      </c>
      <c r="H481" s="13" t="str">
        <f>_xlfn.XLOOKUP([1]!Table134526_79101120212223242526[[#This Row],[Name Surname]],[1]Manpower!$C$4:$C$1048576,[1]Manpower!$H$4:$H$1048576,"")</f>
        <v>Manpower</v>
      </c>
      <c r="I481" s="13" t="str">
        <f>_xlfn.XLOOKUP([1]!Table134526_79101120212223242526[[#This Row],[Name Surname]],[1]Manpower!$C$4:$C$1048576,[1]Manpower!$H$4:$H$1048576,"")</f>
        <v>Manpower</v>
      </c>
      <c r="J481" s="13" t="s">
        <v>9</v>
      </c>
      <c r="K481" s="13" t="s">
        <v>7</v>
      </c>
      <c r="L481" s="13" t="s">
        <v>10</v>
      </c>
      <c r="M481" s="13" t="s">
        <v>5</v>
      </c>
      <c r="N481" s="14">
        <v>10</v>
      </c>
      <c r="O481" s="13" t="s">
        <v>11</v>
      </c>
      <c r="P481" s="13" t="s">
        <v>12</v>
      </c>
      <c r="Q481" s="13" t="s">
        <v>13</v>
      </c>
      <c r="R481" s="13" t="s">
        <v>125</v>
      </c>
      <c r="S481" s="15"/>
    </row>
    <row r="482" spans="1:19" x14ac:dyDescent="0.3">
      <c r="A482" s="1" t="e">
        <f>IF(C482="","",MAX($A$2:A481)+1)</f>
        <v>#REF!</v>
      </c>
      <c r="B482" s="10" t="s">
        <v>0</v>
      </c>
      <c r="C482" s="3">
        <v>46100</v>
      </c>
      <c r="D482" s="5" t="str">
        <f>_xlfn.XLOOKUP([1]!Table134526_79101120212223242526[[#This Row],[Name Surname]],[1]Manpower!$C$4:$C$1048576,[1]Manpower!$B$4:$B$1048576,"")</f>
        <v>Encogroup</v>
      </c>
      <c r="E482" s="5" t="s">
        <v>17</v>
      </c>
      <c r="F482" s="4">
        <f>_xlfn.XLOOKUP([1]!Table134526_79101120212223242526[[#This Row],[Name Surname]],[1]Manpower!C:C,[1]Manpower!D:D,)</f>
        <v>140805554</v>
      </c>
      <c r="G482" s="5" t="str">
        <f>_xlfn.XLOOKUP([1]!Table134526_79101120212223242526[[#This Row],[Name Surname]],[1]Manpower!$C$4:$C$1048576,[1]Manpower!$F$4:$F$1048576,"")</f>
        <v>Assistant/Helper</v>
      </c>
      <c r="H482" s="5" t="str">
        <f>_xlfn.XLOOKUP([1]!Table134526_79101120212223242526[[#This Row],[Name Surname]],[1]Manpower!$C$4:$C$1048576,[1]Manpower!$H$4:$H$1048576,"")</f>
        <v>Manpower</v>
      </c>
      <c r="I482" s="5" t="str">
        <f>_xlfn.XLOOKUP([1]!Table134526_79101120212223242526[[#This Row],[Name Surname]],[1]Manpower!$C$4:$C$1048576,[1]Manpower!$H$4:$H$1048576,"")</f>
        <v>Manpower</v>
      </c>
      <c r="J482" s="5" t="s">
        <v>9</v>
      </c>
      <c r="K482" s="5" t="s">
        <v>7</v>
      </c>
      <c r="L482" s="5" t="s">
        <v>10</v>
      </c>
      <c r="M482" s="5" t="s">
        <v>5</v>
      </c>
      <c r="N482" s="6">
        <v>10</v>
      </c>
      <c r="O482" s="5" t="s">
        <v>6</v>
      </c>
      <c r="P482" s="5" t="s">
        <v>12</v>
      </c>
      <c r="Q482" s="5" t="s">
        <v>29</v>
      </c>
      <c r="R482" s="5" t="s">
        <v>125</v>
      </c>
      <c r="S482" s="8"/>
    </row>
    <row r="483" spans="1:19" x14ac:dyDescent="0.3">
      <c r="A483" s="9" t="e">
        <f>IF(C483="","",MAX($A$2:A482)+1)</f>
        <v>#REF!</v>
      </c>
      <c r="B483" s="10" t="s">
        <v>0</v>
      </c>
      <c r="C483" s="11">
        <v>46100</v>
      </c>
      <c r="D483" s="13" t="str">
        <f>_xlfn.XLOOKUP([1]!Table134526_79101120212223242526[[#This Row],[Name Surname]],[1]Manpower!$C$4:$C$1048576,[1]Manpower!$B$4:$B$1048576,"")</f>
        <v>Encogroup</v>
      </c>
      <c r="E483" s="13" t="s">
        <v>15</v>
      </c>
      <c r="F483" s="12">
        <f>_xlfn.XLOOKUP([1]!Table134526_79101120212223242526[[#This Row],[Name Surname]],[1]Manpower!C:C,[1]Manpower!D:D,)</f>
        <v>141169033</v>
      </c>
      <c r="G483" s="13" t="str">
        <f>_xlfn.XLOOKUP([1]!Table134526_79101120212223242526[[#This Row],[Name Surname]],[1]Manpower!$C$4:$C$1048576,[1]Manpower!$F$4:$F$1048576,"")</f>
        <v>Welder</v>
      </c>
      <c r="H483" s="13" t="str">
        <f>_xlfn.XLOOKUP([1]!Table134526_79101120212223242526[[#This Row],[Name Surname]],[1]Manpower!$C$4:$C$1048576,[1]Manpower!$H$4:$H$1048576,"")</f>
        <v>Manpower</v>
      </c>
      <c r="I483" s="13" t="str">
        <f>_xlfn.XLOOKUP([1]!Table134526_79101120212223242526[[#This Row],[Name Surname]],[1]Manpower!$C$4:$C$1048576,[1]Manpower!$H$4:$H$1048576,"")</f>
        <v>Manpower</v>
      </c>
      <c r="J483" s="13" t="s">
        <v>9</v>
      </c>
      <c r="K483" s="13" t="s">
        <v>7</v>
      </c>
      <c r="L483" s="13" t="s">
        <v>10</v>
      </c>
      <c r="M483" s="13" t="s">
        <v>5</v>
      </c>
      <c r="N483" s="14">
        <v>10</v>
      </c>
      <c r="O483" s="13" t="s">
        <v>6</v>
      </c>
      <c r="P483" s="13" t="s">
        <v>12</v>
      </c>
      <c r="Q483" s="13" t="s">
        <v>29</v>
      </c>
      <c r="R483" s="13" t="s">
        <v>125</v>
      </c>
      <c r="S483" s="15"/>
    </row>
    <row r="484" spans="1:19" x14ac:dyDescent="0.3">
      <c r="A484" s="1" t="e">
        <f>IF(C484="","",MAX($A$2:A483)+1)</f>
        <v>#REF!</v>
      </c>
      <c r="B484" s="10" t="s">
        <v>0</v>
      </c>
      <c r="C484" s="3">
        <v>46100</v>
      </c>
      <c r="D484" s="3" t="str">
        <f>_xlfn.XLOOKUP([1]!Table134526_79101120212223242526[[#This Row],[Name Surname]],[1]Manpower!$C$4:$C$1048576,[1]Manpower!$B$4:$B$1048576,"")</f>
        <v>Encogroup</v>
      </c>
      <c r="E484" s="3" t="s">
        <v>20</v>
      </c>
      <c r="F484" s="4">
        <f>_xlfn.XLOOKUP([1]!Table134526_79101120212223242526[[#This Row],[Name Surname]],[1]Manpower!C:C,[1]Manpower!D:D,)</f>
        <v>141169028</v>
      </c>
      <c r="G484" s="3" t="str">
        <f>_xlfn.XLOOKUP([1]!Table134526_79101120212223242526[[#This Row],[Name Surname]],[1]Manpower!$C$4:$C$1048576,[1]Manpower!$F$4:$F$1048576,"")</f>
        <v>Welder</v>
      </c>
      <c r="H484" s="3" t="str">
        <f>_xlfn.XLOOKUP([1]!Table134526_79101120212223242526[[#This Row],[Name Surname]],[1]Manpower!$C$4:$C$1048576,[1]Manpower!$H$4:$H$1048576,"")</f>
        <v>Manpower</v>
      </c>
      <c r="I484" s="3" t="str">
        <f>_xlfn.XLOOKUP([1]!Table134526_79101120212223242526[[#This Row],[Name Surname]],[1]Manpower!$C$4:$C$1048576,[1]Manpower!$H$4:$H$1048576,"")</f>
        <v>Manpower</v>
      </c>
      <c r="J484" s="5" t="s">
        <v>9</v>
      </c>
      <c r="K484" s="5" t="s">
        <v>7</v>
      </c>
      <c r="L484" s="5" t="s">
        <v>10</v>
      </c>
      <c r="M484" s="5" t="s">
        <v>5</v>
      </c>
      <c r="N484" s="6">
        <v>10</v>
      </c>
      <c r="O484" s="5" t="s">
        <v>6</v>
      </c>
      <c r="P484" s="5" t="s">
        <v>12</v>
      </c>
      <c r="Q484" s="5" t="s">
        <v>12</v>
      </c>
      <c r="R484" s="5" t="s">
        <v>125</v>
      </c>
      <c r="S484" s="8"/>
    </row>
    <row r="485" spans="1:19" x14ac:dyDescent="0.3">
      <c r="A485" s="9" t="e">
        <f>IF(C485="","",MAX($A$2:A484)+1)</f>
        <v>#REF!</v>
      </c>
      <c r="B485" s="16" t="s">
        <v>21</v>
      </c>
      <c r="C485" s="11">
        <v>46100</v>
      </c>
      <c r="D485" s="13" t="str">
        <f>_xlfn.XLOOKUP([1]!Table134526_79101120212223242526[[#This Row],[Name Surname]],[1]Manpower!$C$4:$C$1048576,[1]Manpower!$B$4:$B$1048576,"")</f>
        <v>Encogroup</v>
      </c>
      <c r="E485" s="13" t="s">
        <v>22</v>
      </c>
      <c r="F485" s="12">
        <f>_xlfn.XLOOKUP([1]!Table134526_79101120212223242526[[#This Row],[Name Surname]],[1]Manpower!C:C,[1]Manpower!D:D,)</f>
        <v>140805568</v>
      </c>
      <c r="G485" s="13" t="str">
        <f>_xlfn.XLOOKUP([1]!Table134526_79101120212223242526[[#This Row],[Name Surname]],[1]Manpower!$C$4:$C$1048576,[1]Manpower!$F$4:$F$1048576,"")</f>
        <v>Assistant/Helper</v>
      </c>
      <c r="H485" s="13" t="str">
        <f>_xlfn.XLOOKUP([1]!Table134526_79101120212223242526[[#This Row],[Name Surname]],[1]Manpower!$C$4:$C$1048576,[1]Manpower!$H$4:$H$1048576,"")</f>
        <v>Manpower</v>
      </c>
      <c r="I485" s="13" t="str">
        <f>_xlfn.XLOOKUP([1]!Table134526_79101120212223242526[[#This Row],[Name Surname]],[1]Manpower!$C$4:$C$1048576,[1]Manpower!$H$4:$H$1048576,"")</f>
        <v>Manpower</v>
      </c>
      <c r="J485" s="13" t="s">
        <v>23</v>
      </c>
      <c r="K485" s="13" t="s">
        <v>72</v>
      </c>
      <c r="L485" s="13" t="s">
        <v>25</v>
      </c>
      <c r="M485" s="13" t="s">
        <v>5</v>
      </c>
      <c r="N485" s="14">
        <v>10</v>
      </c>
      <c r="O485" s="13" t="s">
        <v>6</v>
      </c>
      <c r="P485" s="13" t="s">
        <v>12</v>
      </c>
      <c r="Q485" s="13" t="s">
        <v>26</v>
      </c>
      <c r="R485" s="13" t="s">
        <v>118</v>
      </c>
      <c r="S485" s="15"/>
    </row>
    <row r="486" spans="1:19" x14ac:dyDescent="0.3">
      <c r="A486" s="1" t="e">
        <f>IF(C486="","",MAX($A$2:A485)+1)</f>
        <v>#REF!</v>
      </c>
      <c r="B486" s="16" t="s">
        <v>21</v>
      </c>
      <c r="C486" s="3">
        <v>46100</v>
      </c>
      <c r="D486" s="5" t="str">
        <f>_xlfn.XLOOKUP([1]!Table134526_79101120212223242526[[#This Row],[Name Surname]],[1]Manpower!$C$4:$C$1048576,[1]Manpower!$B$4:$B$1048576,"")</f>
        <v>AL Saif &amp; Al QALLM ENT LLC</v>
      </c>
      <c r="E486" s="5" t="s">
        <v>28</v>
      </c>
      <c r="F486" s="4">
        <f>_xlfn.XLOOKUP([1]!Table134526_79101120212223242526[[#This Row],[Name Surname]],[1]Manpower!C:C,[1]Manpower!D:D,)</f>
        <v>76647648</v>
      </c>
      <c r="G486" s="5" t="str">
        <f>_xlfn.XLOOKUP([1]!Table134526_79101120212223242526[[#This Row],[Name Surname]],[1]Manpower!$C$4:$C$1048576,[1]Manpower!$F$4:$F$1048576,"")</f>
        <v>RIgger</v>
      </c>
      <c r="H486" s="5" t="str">
        <f>_xlfn.XLOOKUP([1]!Table134526_79101120212223242526[[#This Row],[Name Surname]],[1]Manpower!$C$4:$C$1048576,[1]Manpower!$H$4:$H$1048576,"")</f>
        <v>Sub Contactor</v>
      </c>
      <c r="I486" s="5" t="str">
        <f>_xlfn.XLOOKUP([1]!Table134526_79101120212223242526[[#This Row],[Name Surname]],[1]Manpower!$C$4:$C$1048576,[1]Manpower!$H$4:$H$1048576,"")</f>
        <v>Sub Contactor</v>
      </c>
      <c r="J486" s="5" t="s">
        <v>23</v>
      </c>
      <c r="K486" s="5" t="s">
        <v>72</v>
      </c>
      <c r="L486" s="5" t="s">
        <v>25</v>
      </c>
      <c r="M486" s="5" t="s">
        <v>5</v>
      </c>
      <c r="N486" s="6">
        <v>10</v>
      </c>
      <c r="O486" s="5" t="s">
        <v>6</v>
      </c>
      <c r="P486" s="5" t="s">
        <v>12</v>
      </c>
      <c r="Q486" s="5" t="s">
        <v>26</v>
      </c>
      <c r="R486" s="5" t="s">
        <v>119</v>
      </c>
      <c r="S486" s="8"/>
    </row>
    <row r="487" spans="1:19" x14ac:dyDescent="0.3">
      <c r="A487" s="9" t="e">
        <f>IF(C487="","",MAX($A$2:A486)+1)</f>
        <v>#REF!</v>
      </c>
      <c r="B487" s="16" t="s">
        <v>21</v>
      </c>
      <c r="C487" s="11">
        <v>46100</v>
      </c>
      <c r="D487" s="13" t="str">
        <f>_xlfn.XLOOKUP([1]!Table134526_79101120212223242526[[#This Row],[Name Surname]],[1]Manpower!$C$4:$C$1048576,[1]Manpower!$B$4:$B$1048576,"")</f>
        <v>Rabwu Ahamal AL Khaleej Trad</v>
      </c>
      <c r="E487" s="13" t="s">
        <v>31</v>
      </c>
      <c r="F487" s="12">
        <f>_xlfn.XLOOKUP([1]!Table134526_79101120212223242526[[#This Row],[Name Surname]],[1]Manpower!C:C,[1]Manpower!D:D,)</f>
        <v>131431131</v>
      </c>
      <c r="G487" s="13" t="str">
        <f>_xlfn.XLOOKUP([1]!Table134526_79101120212223242526[[#This Row],[Name Surname]],[1]Manpower!$C$4:$C$1048576,[1]Manpower!$F$4:$F$1048576,"")</f>
        <v>RIgger</v>
      </c>
      <c r="H487" s="13" t="str">
        <f>_xlfn.XLOOKUP([1]!Table134526_79101120212223242526[[#This Row],[Name Surname]],[1]Manpower!$C$4:$C$1048576,[1]Manpower!$H$4:$H$1048576,"")</f>
        <v>Sub Contactor</v>
      </c>
      <c r="I487" s="13" t="str">
        <f>_xlfn.XLOOKUP([1]!Table134526_79101120212223242526[[#This Row],[Name Surname]],[1]Manpower!$C$4:$C$1048576,[1]Manpower!$H$4:$H$1048576,"")</f>
        <v>Sub Contactor</v>
      </c>
      <c r="J487" s="13" t="s">
        <v>23</v>
      </c>
      <c r="K487" s="13" t="s">
        <v>72</v>
      </c>
      <c r="L487" s="13" t="s">
        <v>25</v>
      </c>
      <c r="M487" s="13" t="s">
        <v>5</v>
      </c>
      <c r="N487" s="14">
        <v>10</v>
      </c>
      <c r="O487" s="13" t="s">
        <v>11</v>
      </c>
      <c r="P487" s="13" t="s">
        <v>12</v>
      </c>
      <c r="Q487" s="13" t="s">
        <v>13</v>
      </c>
      <c r="R487" s="13" t="s">
        <v>107</v>
      </c>
      <c r="S487" s="15"/>
    </row>
    <row r="488" spans="1:19" x14ac:dyDescent="0.3">
      <c r="A488" s="1" t="e">
        <f>IF(C488="","",MAX($A$2:A487)+1)</f>
        <v>#REF!</v>
      </c>
      <c r="B488" s="16" t="s">
        <v>21</v>
      </c>
      <c r="C488" s="3">
        <v>46100</v>
      </c>
      <c r="D488" s="5" t="str">
        <f>_xlfn.XLOOKUP([1]!Table134526_79101120212223242526[[#This Row],[Name Surname]],[1]Manpower!$C$4:$C$1048576,[1]Manpower!$B$4:$B$1048576,"")</f>
        <v>AL Saif &amp; Al QALLM ENT LLC</v>
      </c>
      <c r="E488" s="5" t="s">
        <v>41</v>
      </c>
      <c r="F488" s="4">
        <f>_xlfn.XLOOKUP([1]!Table134526_79101120212223242526[[#This Row],[Name Surname]],[1]Manpower!C:C,[1]Manpower!D:D,)</f>
        <v>135762195</v>
      </c>
      <c r="G488" s="5" t="str">
        <f>_xlfn.XLOOKUP([1]!Table134526_79101120212223242526[[#This Row],[Name Surname]],[1]Manpower!$C$4:$C$1048576,[1]Manpower!$F$4:$F$1048576,"")</f>
        <v>HSE Officer</v>
      </c>
      <c r="H488" s="5" t="str">
        <f>_xlfn.XLOOKUP([1]!Table134526_79101120212223242526[[#This Row],[Name Surname]],[1]Manpower!$C$4:$C$1048576,[1]Manpower!$H$4:$H$1048576,"")</f>
        <v>Sub Contactor</v>
      </c>
      <c r="I488" s="5" t="str">
        <f>_xlfn.XLOOKUP([1]!Table134526_79101120212223242526[[#This Row],[Name Surname]],[1]Manpower!$C$4:$C$1048576,[1]Manpower!$H$4:$H$1048576,"")</f>
        <v>Sub Contactor</v>
      </c>
      <c r="J488" s="5" t="s">
        <v>23</v>
      </c>
      <c r="K488" s="5" t="s">
        <v>107</v>
      </c>
      <c r="L488" s="5" t="s">
        <v>25</v>
      </c>
      <c r="M488" s="5" t="s">
        <v>18</v>
      </c>
      <c r="N488" s="6">
        <v>10</v>
      </c>
      <c r="O488" s="5"/>
      <c r="P488" s="5"/>
      <c r="Q488" s="5"/>
      <c r="R488" s="5" t="s">
        <v>126</v>
      </c>
      <c r="S488" s="8"/>
    </row>
    <row r="489" spans="1:19" x14ac:dyDescent="0.3">
      <c r="A489" s="9" t="e">
        <f>IF(C489="","",MAX($A$2:A488)+1)</f>
        <v>#REF!</v>
      </c>
      <c r="B489" s="16" t="s">
        <v>21</v>
      </c>
      <c r="C489" s="11">
        <v>46100</v>
      </c>
      <c r="D489" s="13" t="str">
        <f>_xlfn.XLOOKUP([1]!Table134526_79101120212223242526[[#This Row],[Name Surname]],[1]Manpower!$C$4:$C$1048576,[1]Manpower!$B$4:$B$1048576,"")</f>
        <v>Encogroup</v>
      </c>
      <c r="E489" s="13" t="s">
        <v>32</v>
      </c>
      <c r="F489" s="12">
        <f>_xlfn.XLOOKUP([1]!Table134526_79101120212223242526[[#This Row],[Name Surname]],[1]Manpower!C:C,[1]Manpower!D:D,)</f>
        <v>140846684</v>
      </c>
      <c r="G489" s="13" t="str">
        <f>_xlfn.XLOOKUP([1]!Table134526_79101120212223242526[[#This Row],[Name Surname]],[1]Manpower!$C$4:$C$1048576,[1]Manpower!$F$4:$F$1048576,"")</f>
        <v>Assistant/Helper</v>
      </c>
      <c r="H489" s="13" t="str">
        <f>_xlfn.XLOOKUP([1]!Table134526_79101120212223242526[[#This Row],[Name Surname]],[1]Manpower!$C$4:$C$1048576,[1]Manpower!$H$4:$H$1048576,"")</f>
        <v>Manpower</v>
      </c>
      <c r="I489" s="13" t="str">
        <f>_xlfn.XLOOKUP([1]!Table134526_79101120212223242526[[#This Row],[Name Surname]],[1]Manpower!$C$4:$C$1048576,[1]Manpower!$H$4:$H$1048576,"")</f>
        <v>Manpower</v>
      </c>
      <c r="J489" s="13" t="s">
        <v>23</v>
      </c>
      <c r="K489" s="13" t="s">
        <v>72</v>
      </c>
      <c r="L489" s="13" t="s">
        <v>25</v>
      </c>
      <c r="M489" s="13" t="s">
        <v>5</v>
      </c>
      <c r="N489" s="14">
        <v>10</v>
      </c>
      <c r="O489" s="13" t="s">
        <v>33</v>
      </c>
      <c r="P489" s="13" t="s">
        <v>33</v>
      </c>
      <c r="Q489" s="13" t="s">
        <v>33</v>
      </c>
      <c r="R489" s="13" t="s">
        <v>7</v>
      </c>
      <c r="S489" s="15"/>
    </row>
    <row r="490" spans="1:19" x14ac:dyDescent="0.3">
      <c r="A490" s="1" t="e">
        <f>IF(C490="","",MAX($A$2:A488)+1)</f>
        <v>#REF!</v>
      </c>
      <c r="B490" s="16" t="s">
        <v>21</v>
      </c>
      <c r="C490" s="3">
        <v>46100</v>
      </c>
      <c r="D490" s="5" t="str">
        <f>_xlfn.XLOOKUP([1]!Table134526_79101120212223242526[[#This Row],[Name Surname]],[1]Manpower!$C$4:$C$1048576,[1]Manpower!$B$4:$B$1048576,"")</f>
        <v>Encogroup</v>
      </c>
      <c r="E490" s="5" t="s">
        <v>34</v>
      </c>
      <c r="F490" s="4">
        <f>_xlfn.XLOOKUP([1]!Table134526_79101120212223242526[[#This Row],[Name Surname]],[1]Manpower!C:C,[1]Manpower!D:D,)</f>
        <v>141250908</v>
      </c>
      <c r="G490" s="5" t="str">
        <f>_xlfn.XLOOKUP([1]!Table134526_79101120212223242526[[#This Row],[Name Surname]],[1]Manpower!$C$4:$C$1048576,[1]Manpower!$F$4:$F$1048576,"")</f>
        <v>Mechanical Engineer</v>
      </c>
      <c r="H490" s="5" t="str">
        <f>_xlfn.XLOOKUP([1]!Table134526_79101120212223242526[[#This Row],[Name Surname]],[1]Manpower!$C$4:$C$1048576,[1]Manpower!$H$4:$H$1048576,"")</f>
        <v>Manpower</v>
      </c>
      <c r="I490" s="5" t="str">
        <f>_xlfn.XLOOKUP([1]!Table134526_79101120212223242526[[#This Row],[Name Surname]],[1]Manpower!$C$4:$C$1048576,[1]Manpower!$H$4:$H$1048576,"")</f>
        <v>Manpower</v>
      </c>
      <c r="J490" s="5" t="s">
        <v>23</v>
      </c>
      <c r="K490" s="5" t="s">
        <v>72</v>
      </c>
      <c r="L490" s="5" t="s">
        <v>25</v>
      </c>
      <c r="M490" s="5" t="s">
        <v>5</v>
      </c>
      <c r="N490" s="6">
        <v>10</v>
      </c>
      <c r="O490" s="5" t="s">
        <v>35</v>
      </c>
      <c r="P490" s="5" t="s">
        <v>35</v>
      </c>
      <c r="Q490" s="5" t="s">
        <v>35</v>
      </c>
      <c r="R490" s="5" t="s">
        <v>127</v>
      </c>
      <c r="S490" s="8"/>
    </row>
    <row r="491" spans="1:19" x14ac:dyDescent="0.3">
      <c r="A491" s="9" t="e">
        <f>IF(C491="","",MAX($A$2:A490)+1)</f>
        <v>#REF!</v>
      </c>
      <c r="B491" s="16" t="s">
        <v>21</v>
      </c>
      <c r="C491" s="11">
        <v>46100</v>
      </c>
      <c r="D491" s="13" t="str">
        <f>_xlfn.XLOOKUP([1]!Table134526_79101120212223242526[[#This Row],[Name Surname]],[1]Manpower!$C$4:$C$1048576,[1]Manpower!$B$4:$B$1048576,"")</f>
        <v>Encogroup</v>
      </c>
      <c r="E491" s="13" t="s">
        <v>120</v>
      </c>
      <c r="F491" s="12" t="e">
        <f>_xlfn.XLOOKUP([1]!Table134526_79101120212223242526[[#This Row],[Name Surname]],[1]Manpower!C:C,[1]Manpower!D:D,)</f>
        <v>#N/A</v>
      </c>
      <c r="G491" s="13" t="str">
        <f>_xlfn.XLOOKUP([1]!Table134526_79101120212223242526[[#This Row],[Name Surname]],[1]Manpower!$C$4:$C$1048576,[1]Manpower!$F$4:$F$1048576,"")</f>
        <v>55 Seat Bus</v>
      </c>
      <c r="H491" s="13" t="str">
        <f>_xlfn.XLOOKUP([1]!Table134526_79101120212223242526[[#This Row],[Name Surname]],[1]Manpower!$C$4:$C$1048576,[1]Manpower!$H$4:$H$1048576,"")</f>
        <v>Equipment</v>
      </c>
      <c r="I491" s="13" t="str">
        <f>_xlfn.XLOOKUP([1]!Table134526_79101120212223242526[[#This Row],[Name Surname]],[1]Manpower!$C$4:$C$1048576,[1]Manpower!$H$4:$H$1048576,"")</f>
        <v>Equipment</v>
      </c>
      <c r="J491" s="13" t="s">
        <v>23</v>
      </c>
      <c r="K491" s="13" t="s">
        <v>72</v>
      </c>
      <c r="L491" s="13" t="s">
        <v>25</v>
      </c>
      <c r="M491" s="13" t="s">
        <v>5</v>
      </c>
      <c r="N491" s="14">
        <v>10</v>
      </c>
      <c r="O491" s="13" t="s">
        <v>35</v>
      </c>
      <c r="P491" s="13" t="s">
        <v>35</v>
      </c>
      <c r="Q491" s="13" t="s">
        <v>35</v>
      </c>
      <c r="R491" s="13" t="s">
        <v>7</v>
      </c>
      <c r="S491" s="15"/>
    </row>
    <row r="492" spans="1:19" x14ac:dyDescent="0.3">
      <c r="A492" s="1" t="e">
        <f>IF(C492="","",MAX($A$2:A491)+1)</f>
        <v>#REF!</v>
      </c>
      <c r="B492" s="17" t="s">
        <v>36</v>
      </c>
      <c r="C492" s="3">
        <v>46100</v>
      </c>
      <c r="D492" s="5" t="str">
        <f>_xlfn.XLOOKUP([1]!Table134526_79101120212223242526[[#This Row],[Name Surname]],[1]Manpower!$C$4:$C$1048576,[1]Manpower!$B$4:$B$1048576,"")</f>
        <v>Encogroup</v>
      </c>
      <c r="E492" s="5" t="s">
        <v>43</v>
      </c>
      <c r="F492" s="4" t="e">
        <f>_xlfn.XLOOKUP([1]!Table134526_79101120212223242526[[#This Row],[Name Surname]],[1]Manpower!C:C,[1]Manpower!D:D,)</f>
        <v>#N/A</v>
      </c>
      <c r="G492" s="5" t="str">
        <f>_xlfn.XLOOKUP([1]!Table134526_79101120212223242526[[#This Row],[Name Surname]],[1]Manpower!$C$4:$C$1048576,[1]Manpower!$F$4:$F$1048576,"")</f>
        <v>TOWER LIGHT</v>
      </c>
      <c r="H492" s="5" t="str">
        <f>_xlfn.XLOOKUP([1]!Table134526_79101120212223242526[[#This Row],[Name Surname]],[1]Manpower!$C$4:$C$1048576,[1]Manpower!$H$4:$H$1048576,"")</f>
        <v>Equipment</v>
      </c>
      <c r="I492" s="5" t="str">
        <f>_xlfn.XLOOKUP([1]!Table134526_79101120212223242526[[#This Row],[Name Surname]],[1]Manpower!$C$4:$C$1048576,[1]Manpower!$H$4:$H$1048576,"")</f>
        <v>Equipment</v>
      </c>
      <c r="J492" s="5" t="s">
        <v>38</v>
      </c>
      <c r="K492" s="5" t="s">
        <v>7</v>
      </c>
      <c r="L492" s="5" t="s">
        <v>39</v>
      </c>
      <c r="M492" s="5" t="s">
        <v>5</v>
      </c>
      <c r="N492" s="6">
        <v>10</v>
      </c>
      <c r="O492" s="5" t="s">
        <v>11</v>
      </c>
      <c r="P492" s="5" t="s">
        <v>13</v>
      </c>
      <c r="Q492" s="5" t="s">
        <v>13</v>
      </c>
      <c r="R492" s="5" t="s">
        <v>128</v>
      </c>
      <c r="S492" s="8"/>
    </row>
    <row r="493" spans="1:19" x14ac:dyDescent="0.3">
      <c r="A493" s="9" t="e">
        <f>IF(C493="","",MAX($A$2:A492)+1)</f>
        <v>#REF!</v>
      </c>
      <c r="B493" s="17" t="s">
        <v>36</v>
      </c>
      <c r="C493" s="11">
        <v>46100</v>
      </c>
      <c r="D493" s="13" t="str">
        <f>_xlfn.XLOOKUP([1]!Table134526_79101120212223242526[[#This Row],[Name Surname]],[1]Manpower!$C$4:$C$1048576,[1]Manpower!$B$4:$B$1048576,"")</f>
        <v>Encogroup</v>
      </c>
      <c r="E493" s="13" t="s">
        <v>37</v>
      </c>
      <c r="F493" s="12" t="e">
        <f>_xlfn.XLOOKUP([1]!Table134526_79101120212223242526[[#This Row],[Name Surname]],[1]Manpower!C:C,[1]Manpower!D:D,)</f>
        <v>#N/A</v>
      </c>
      <c r="G493" s="13" t="str">
        <f>_xlfn.XLOOKUP([1]!Table134526_79101120212223242526[[#This Row],[Name Surname]],[1]Manpower!$C$4:$C$1048576,[1]Manpower!$F$4:$F$1048576,"")</f>
        <v>13 Seat Bus</v>
      </c>
      <c r="H493" s="13" t="str">
        <f>_xlfn.XLOOKUP([1]!Table134526_79101120212223242526[[#This Row],[Name Surname]],[1]Manpower!$C$4:$C$1048576,[1]Manpower!$H$4:$H$1048576,"")</f>
        <v>Equipment</v>
      </c>
      <c r="I493" s="13" t="str">
        <f>_xlfn.XLOOKUP([1]!Table134526_79101120212223242526[[#This Row],[Name Surname]],[1]Manpower!$C$4:$C$1048576,[1]Manpower!$H$4:$H$1048576,"")</f>
        <v>Equipment</v>
      </c>
      <c r="J493" s="13" t="s">
        <v>38</v>
      </c>
      <c r="K493" s="13" t="s">
        <v>7</v>
      </c>
      <c r="L493" s="13" t="s">
        <v>39</v>
      </c>
      <c r="M493" s="13" t="s">
        <v>5</v>
      </c>
      <c r="N493" s="14">
        <v>10</v>
      </c>
      <c r="O493" s="13" t="s">
        <v>33</v>
      </c>
      <c r="P493" s="13" t="s">
        <v>33</v>
      </c>
      <c r="Q493" s="13" t="s">
        <v>33</v>
      </c>
      <c r="R493" s="13" t="s">
        <v>7</v>
      </c>
      <c r="S493" s="15"/>
    </row>
    <row r="494" spans="1:19" x14ac:dyDescent="0.3">
      <c r="A494" s="1" t="e">
        <f>IF(C494="","",MAX($A$2:A493)+1)</f>
        <v>#REF!</v>
      </c>
      <c r="B494" s="17" t="s">
        <v>36</v>
      </c>
      <c r="C494" s="3">
        <v>46100</v>
      </c>
      <c r="D494" s="5" t="str">
        <f>_xlfn.XLOOKUP([1]!Table134526_79101120212223242526[[#This Row],[Name Surname]],[1]Manpower!$C$4:$C$1048576,[1]Manpower!$B$4:$B$1048576,"")</f>
        <v>Encogroup</v>
      </c>
      <c r="E494" s="5" t="s">
        <v>40</v>
      </c>
      <c r="F494" s="4" t="e">
        <f>_xlfn.XLOOKUP([1]!Table134526_79101120212223242526[[#This Row],[Name Surname]],[1]Manpower!C:C,[1]Manpower!D:D,)</f>
        <v>#N/A</v>
      </c>
      <c r="G494" s="5" t="str">
        <f>_xlfn.XLOOKUP([1]!Table134526_79101120212223242526[[#This Row],[Name Surname]],[1]Manpower!$C$4:$C$1048576,[1]Manpower!$F$4:$F$1048576,"")</f>
        <v>15 Seat Bus</v>
      </c>
      <c r="H494" s="5" t="str">
        <f>_xlfn.XLOOKUP([1]!Table134526_79101120212223242526[[#This Row],[Name Surname]],[1]Manpower!$C$4:$C$1048576,[1]Manpower!$H$4:$H$1048576,"")</f>
        <v>Equipment</v>
      </c>
      <c r="I494" s="5" t="str">
        <f>_xlfn.XLOOKUP([1]!Table134526_79101120212223242526[[#This Row],[Name Surname]],[1]Manpower!$C$4:$C$1048576,[1]Manpower!$H$4:$H$1048576,"")</f>
        <v>Equipment</v>
      </c>
      <c r="J494" s="5" t="s">
        <v>38</v>
      </c>
      <c r="K494" s="5" t="s">
        <v>7</v>
      </c>
      <c r="L494" s="5" t="s">
        <v>39</v>
      </c>
      <c r="M494" s="5" t="s">
        <v>5</v>
      </c>
      <c r="N494" s="6">
        <v>10</v>
      </c>
      <c r="O494" s="5" t="s">
        <v>33</v>
      </c>
      <c r="P494" s="5" t="s">
        <v>33</v>
      </c>
      <c r="Q494" s="5" t="s">
        <v>33</v>
      </c>
      <c r="R494" s="5" t="s">
        <v>7</v>
      </c>
      <c r="S494" s="8"/>
    </row>
    <row r="495" spans="1:19" x14ac:dyDescent="0.3">
      <c r="A495" s="9" t="e">
        <f>IF(C495="","",MAX($A$2:A493)+1)</f>
        <v>#REF!</v>
      </c>
      <c r="B495" s="17" t="s">
        <v>36</v>
      </c>
      <c r="C495" s="11">
        <v>46100</v>
      </c>
      <c r="D495" s="13" t="str">
        <f>_xlfn.XLOOKUP([1]!Table134526_79101120212223242526[[#This Row],[Name Surname]],[1]Manpower!$C$4:$C$1048576,[1]Manpower!$B$4:$B$1048576,"")</f>
        <v>Nass Group</v>
      </c>
      <c r="E495" s="13" t="s">
        <v>45</v>
      </c>
      <c r="F495" s="12" t="e">
        <f>_xlfn.XLOOKUP([1]!Table134526_79101120212223242526[[#This Row],[Name Surname]],[1]Manpower!C:C,[1]Manpower!D:D,)</f>
        <v>#N/A</v>
      </c>
      <c r="G495" s="13" t="str">
        <f>_xlfn.XLOOKUP([1]!Table134526_79101120212223242526[[#This Row],[Name Surname]],[1]Manpower!$C$4:$C$1048576,[1]Manpower!$F$4:$F$1048576,"")</f>
        <v>130T Crawler Crane</v>
      </c>
      <c r="H495" s="13" t="str">
        <f>_xlfn.XLOOKUP([1]!Table134526_79101120212223242526[[#This Row],[Name Surname]],[1]Manpower!$C$4:$C$1048576,[1]Manpower!$H$4:$H$1048576,"")</f>
        <v>Equipment</v>
      </c>
      <c r="I495" s="13" t="str">
        <f>_xlfn.XLOOKUP([1]!Table134526_79101120212223242526[[#This Row],[Name Surname]],[1]Manpower!$C$4:$C$1048576,[1]Manpower!$H$4:$H$1048576,"")</f>
        <v>Equipment</v>
      </c>
      <c r="J495" s="13" t="s">
        <v>38</v>
      </c>
      <c r="K495" s="13" t="s">
        <v>7</v>
      </c>
      <c r="L495" s="13" t="s">
        <v>39</v>
      </c>
      <c r="M495" s="13" t="s">
        <v>5</v>
      </c>
      <c r="N495" s="14">
        <v>10</v>
      </c>
      <c r="O495" s="13" t="s">
        <v>11</v>
      </c>
      <c r="P495" s="13" t="s">
        <v>13</v>
      </c>
      <c r="Q495" s="13" t="s">
        <v>12</v>
      </c>
      <c r="R495" s="13" t="s">
        <v>79</v>
      </c>
      <c r="S495" s="15"/>
    </row>
    <row r="496" spans="1:19" x14ac:dyDescent="0.3">
      <c r="A496" s="1" t="e">
        <f>IF(C496="","",MAX($A$2:A495)+1)</f>
        <v>#REF!</v>
      </c>
      <c r="B496" s="17" t="s">
        <v>36</v>
      </c>
      <c r="C496" s="3">
        <v>46100</v>
      </c>
      <c r="D496" s="5" t="str">
        <f>_xlfn.XLOOKUP([1]!Table134526_79101120212223242526[[#This Row],[Name Surname]],[1]Manpower!$C$4:$C$1048576,[1]Manpower!$B$4:$B$1048576,"")</f>
        <v>Nass Group</v>
      </c>
      <c r="E496" s="5" t="s">
        <v>46</v>
      </c>
      <c r="F496" s="4" t="e">
        <f>_xlfn.XLOOKUP([1]!Table134526_79101120212223242526[[#This Row],[Name Surname]],[1]Manpower!C:C,[1]Manpower!D:D,)</f>
        <v>#N/A</v>
      </c>
      <c r="G496" s="5" t="str">
        <f>_xlfn.XLOOKUP([1]!Table134526_79101120212223242526[[#This Row],[Name Surname]],[1]Manpower!$C$4:$C$1048576,[1]Manpower!$F$4:$F$1048576,"")</f>
        <v>70T-Telescopic crane</v>
      </c>
      <c r="H496" s="5" t="str">
        <f>_xlfn.XLOOKUP([1]!Table134526_79101120212223242526[[#This Row],[Name Surname]],[1]Manpower!$C$4:$C$1048576,[1]Manpower!$H$4:$H$1048576,"")</f>
        <v>Equipment</v>
      </c>
      <c r="I496" s="5" t="str">
        <f>_xlfn.XLOOKUP([1]!Table134526_79101120212223242526[[#This Row],[Name Surname]],[1]Manpower!$C$4:$C$1048576,[1]Manpower!$H$4:$H$1048576,"")</f>
        <v>Equipment</v>
      </c>
      <c r="J496" s="5" t="s">
        <v>38</v>
      </c>
      <c r="K496" s="5" t="s">
        <v>7</v>
      </c>
      <c r="L496" s="5" t="s">
        <v>39</v>
      </c>
      <c r="M496" s="5" t="s">
        <v>18</v>
      </c>
      <c r="N496" s="6">
        <v>10</v>
      </c>
      <c r="O496" s="5"/>
      <c r="P496" s="5"/>
      <c r="Q496" s="5"/>
      <c r="R496" s="5" t="s">
        <v>122</v>
      </c>
      <c r="S496" s="8"/>
    </row>
    <row r="497" spans="1:19" x14ac:dyDescent="0.3">
      <c r="A497" s="9" t="e">
        <f>IF(C497="","",MAX($A$2:A496)+1)</f>
        <v>#REF!</v>
      </c>
      <c r="B497" s="17" t="s">
        <v>36</v>
      </c>
      <c r="C497" s="11">
        <v>46100</v>
      </c>
      <c r="D497" s="13" t="str">
        <f>_xlfn.XLOOKUP([1]!Table134526_79101120212223242526[[#This Row],[Name Surname]],[1]Manpower!$C$4:$C$1048576,[1]Manpower!$B$4:$B$1048576,"")</f>
        <v>Encogroup</v>
      </c>
      <c r="E497" s="13" t="s">
        <v>48</v>
      </c>
      <c r="F497" s="12" t="e">
        <f>_xlfn.XLOOKUP([1]!Table134526_79101120212223242526[[#This Row],[Name Surname]],[1]Manpower!C:C,[1]Manpower!D:D,)</f>
        <v>#N/A</v>
      </c>
      <c r="G497" s="13" t="str">
        <f>_xlfn.XLOOKUP([1]!Table134526_79101120212223242526[[#This Row],[Name Surname]],[1]Manpower!$C$4:$C$1048576,[1]Manpower!$F$4:$F$1048576,"")</f>
        <v>14T Fork lift</v>
      </c>
      <c r="H497" s="13" t="str">
        <f>_xlfn.XLOOKUP([1]!Table134526_79101120212223242526[[#This Row],[Name Surname]],[1]Manpower!$C$4:$C$1048576,[1]Manpower!$H$4:$H$1048576,"")</f>
        <v>Equipment</v>
      </c>
      <c r="I497" s="13" t="str">
        <f>_xlfn.XLOOKUP([1]!Table134526_79101120212223242526[[#This Row],[Name Surname]],[1]Manpower!$C$4:$C$1048576,[1]Manpower!$H$4:$H$1048576,"")</f>
        <v>Equipment</v>
      </c>
      <c r="J497" s="13" t="s">
        <v>38</v>
      </c>
      <c r="K497" s="13" t="s">
        <v>7</v>
      </c>
      <c r="L497" s="13" t="s">
        <v>39</v>
      </c>
      <c r="M497" s="13" t="s">
        <v>5</v>
      </c>
      <c r="N497" s="14">
        <v>10</v>
      </c>
      <c r="O497" s="13" t="s">
        <v>33</v>
      </c>
      <c r="P497" s="13" t="s">
        <v>33</v>
      </c>
      <c r="Q497" s="13" t="s">
        <v>33</v>
      </c>
      <c r="R497" s="13" t="s">
        <v>7</v>
      </c>
      <c r="S497" s="15"/>
    </row>
    <row r="498" spans="1:19" x14ac:dyDescent="0.3">
      <c r="A498" s="1" t="e">
        <f>IF(C498="","",MAX($A$2:A497)+1)</f>
        <v>#REF!</v>
      </c>
      <c r="B498" s="17" t="s">
        <v>36</v>
      </c>
      <c r="C498" s="3">
        <v>46100</v>
      </c>
      <c r="D498" s="5" t="str">
        <f>_xlfn.XLOOKUP([1]!Table134526_79101120212223242526[[#This Row],[Name Surname]],[1]Manpower!$C$4:$C$1048576,[1]Manpower!$B$4:$B$1048576,"")</f>
        <v>Al Jaber Heavy Lift</v>
      </c>
      <c r="E498" s="5" t="s">
        <v>49</v>
      </c>
      <c r="F498" s="4" t="e">
        <f>_xlfn.XLOOKUP([1]!Table134526_79101120212223242526[[#This Row],[Name Surname]],[1]Manpower!C:C,[1]Manpower!D:D,)</f>
        <v>#N/A</v>
      </c>
      <c r="G498" s="5" t="str">
        <f>_xlfn.XLOOKUP([1]!Table134526_79101120212223242526[[#This Row],[Name Surname]],[1]Manpower!$C$4:$C$1048576,[1]Manpower!$F$4:$F$1048576,"")</f>
        <v>150T-Crawler Crane</v>
      </c>
      <c r="H498" s="5" t="str">
        <f>_xlfn.XLOOKUP([1]!Table134526_79101120212223242526[[#This Row],[Name Surname]],[1]Manpower!$C$4:$C$1048576,[1]Manpower!$H$4:$H$1048576,"")</f>
        <v>Equipment</v>
      </c>
      <c r="I498" s="5" t="str">
        <f>_xlfn.XLOOKUP([1]!Table134526_79101120212223242526[[#This Row],[Name Surname]],[1]Manpower!$C$4:$C$1048576,[1]Manpower!$H$4:$H$1048576,"")</f>
        <v>Equipment</v>
      </c>
      <c r="J498" s="5" t="s">
        <v>38</v>
      </c>
      <c r="K498" s="5" t="s">
        <v>7</v>
      </c>
      <c r="L498" s="5" t="s">
        <v>39</v>
      </c>
      <c r="M498" s="5" t="s">
        <v>5</v>
      </c>
      <c r="N498" s="6">
        <v>10</v>
      </c>
      <c r="O498" s="5" t="s">
        <v>33</v>
      </c>
      <c r="P498" s="5" t="s">
        <v>33</v>
      </c>
      <c r="Q498" s="5" t="s">
        <v>33</v>
      </c>
      <c r="R498" s="5" t="s">
        <v>7</v>
      </c>
      <c r="S498" s="8"/>
    </row>
    <row r="499" spans="1:19" x14ac:dyDescent="0.3">
      <c r="A499" s="9" t="e">
        <f>IF(C499="","",MAX($A$2:A498)+1)</f>
        <v>#REF!</v>
      </c>
      <c r="B499" s="17" t="s">
        <v>36</v>
      </c>
      <c r="C499" s="11">
        <v>46100</v>
      </c>
      <c r="D499" s="13" t="str">
        <f>_xlfn.XLOOKUP([1]!Table134526_79101120212223242526[[#This Row],[Name Surname]],[1]Manpower!$C$4:$C$1048576,[1]Manpower!$B$4:$B$1048576,"")</f>
        <v>Encogroup</v>
      </c>
      <c r="E499" s="13" t="s">
        <v>50</v>
      </c>
      <c r="F499" s="12" t="e">
        <f>_xlfn.XLOOKUP([1]!Table134526_79101120212223242526[[#This Row],[Name Surname]],[1]Manpower!C:C,[1]Manpower!D:D,)</f>
        <v>#N/A</v>
      </c>
      <c r="G499" s="13" t="str">
        <f>_xlfn.XLOOKUP([1]!Table134526_79101120212223242526[[#This Row],[Name Surname]],[1]Manpower!$C$4:$C$1048576,[1]Manpower!$F$4:$F$1048576,"")</f>
        <v>22 Seat Bus</v>
      </c>
      <c r="H499" s="13" t="str">
        <f>_xlfn.XLOOKUP([1]!Table134526_79101120212223242526[[#This Row],[Name Surname]],[1]Manpower!$C$4:$C$1048576,[1]Manpower!$H$4:$H$1048576,"")</f>
        <v>Equipment</v>
      </c>
      <c r="I499" s="13" t="str">
        <f>_xlfn.XLOOKUP([1]!Table134526_79101120212223242526[[#This Row],[Name Surname]],[1]Manpower!$C$4:$C$1048576,[1]Manpower!$H$4:$H$1048576,"")</f>
        <v>Equipment</v>
      </c>
      <c r="J499" s="13" t="s">
        <v>38</v>
      </c>
      <c r="K499" s="13" t="s">
        <v>7</v>
      </c>
      <c r="L499" s="13" t="s">
        <v>39</v>
      </c>
      <c r="M499" s="13" t="s">
        <v>5</v>
      </c>
      <c r="N499" s="14">
        <v>10</v>
      </c>
      <c r="O499" s="13"/>
      <c r="P499" s="13"/>
      <c r="Q499" s="13"/>
      <c r="R499" s="13" t="s">
        <v>7</v>
      </c>
      <c r="S499" s="15"/>
    </row>
    <row r="500" spans="1:19" x14ac:dyDescent="0.3">
      <c r="A500" s="1" t="e">
        <f>IF(C500="","",MAX($A$2:A499)+1)</f>
        <v>#REF!</v>
      </c>
      <c r="B500" s="17" t="s">
        <v>36</v>
      </c>
      <c r="C500" s="3">
        <v>46100</v>
      </c>
      <c r="D500" s="5" t="str">
        <f>_xlfn.XLOOKUP([1]!Table134526_79101120212223242526[[#This Row],[Name Surname]],[1]Manpower!$C$4:$C$1048576,[1]Manpower!$B$4:$B$1048576,"")</f>
        <v>Encogroup</v>
      </c>
      <c r="E500" s="3" t="s">
        <v>51</v>
      </c>
      <c r="F500" s="4" t="e">
        <f>_xlfn.XLOOKUP([1]!Table134526_79101120212223242526[[#This Row],[Name Surname]],[1]Manpower!C:C,[1]Manpower!D:D,)</f>
        <v>#N/A</v>
      </c>
      <c r="G500" s="5" t="str">
        <f>_xlfn.XLOOKUP([1]!Table134526_79101120212223242526[[#This Row],[Name Surname]],[1]Manpower!$C$4:$C$1048576,[1]Manpower!$F$4:$F$1048576,"")</f>
        <v>22 Seat Bus</v>
      </c>
      <c r="H500" s="5" t="str">
        <f>_xlfn.XLOOKUP([1]!Table134526_79101120212223242526[[#This Row],[Name Surname]],[1]Manpower!$C$4:$C$1048576,[1]Manpower!$H$4:$H$1048576,"")</f>
        <v>Equipment</v>
      </c>
      <c r="I500" s="5" t="str">
        <f>_xlfn.XLOOKUP([1]!Table134526_79101120212223242526[[#This Row],[Name Surname]],[1]Manpower!$C$4:$C$1048576,[1]Manpower!$H$4:$H$1048576,"")</f>
        <v>Equipment</v>
      </c>
      <c r="J500" s="5" t="s">
        <v>38</v>
      </c>
      <c r="K500" s="5" t="s">
        <v>7</v>
      </c>
      <c r="L500" s="5" t="s">
        <v>39</v>
      </c>
      <c r="M500" s="5" t="s">
        <v>18</v>
      </c>
      <c r="N500" s="6">
        <v>10</v>
      </c>
      <c r="O500" s="5"/>
      <c r="P500" s="5"/>
      <c r="Q500" s="5"/>
      <c r="R500" s="5" t="s">
        <v>19</v>
      </c>
      <c r="S500" s="8"/>
    </row>
    <row r="501" spans="1:19" x14ac:dyDescent="0.3">
      <c r="A501" s="9" t="e">
        <f>IF(C501="","",MAX($A$2:A500)+1)</f>
        <v>#REF!</v>
      </c>
      <c r="B501" s="17" t="s">
        <v>36</v>
      </c>
      <c r="C501" s="11">
        <v>46100</v>
      </c>
      <c r="D501" s="13" t="str">
        <f>_xlfn.XLOOKUP([1]!Table134526_79101120212223242526[[#This Row],[Name Surname]],[1]Manpower!$C$4:$C$1048576,[1]Manpower!$B$4:$B$1048576,"")</f>
        <v>Encogroup</v>
      </c>
      <c r="E501" s="13" t="s">
        <v>111</v>
      </c>
      <c r="F501" s="12" t="e">
        <f>_xlfn.XLOOKUP([1]!Table134526_79101120212223242526[[#This Row],[Name Surname]],[1]Manpower!C:C,[1]Manpower!D:D,)</f>
        <v>#N/A</v>
      </c>
      <c r="G501" s="13" t="str">
        <f>_xlfn.XLOOKUP([1]!Table134526_79101120212223242526[[#This Row],[Name Surname]],[1]Manpower!$C$4:$C$1048576,[1]Manpower!$F$4:$F$1048576,"")</f>
        <v>300 KVA Generator</v>
      </c>
      <c r="H501" s="13" t="str">
        <f>_xlfn.XLOOKUP([1]!Table134526_79101120212223242526[[#This Row],[Name Surname]],[1]Manpower!$C$4:$C$1048576,[1]Manpower!$H$4:$H$1048576,"")</f>
        <v>Equipment</v>
      </c>
      <c r="I501" s="13" t="str">
        <f>_xlfn.XLOOKUP([1]!Table134526_79101120212223242526[[#This Row],[Name Surname]],[1]Manpower!$C$4:$C$1048576,[1]Manpower!$H$4:$H$1048576,"")</f>
        <v>Equipment</v>
      </c>
      <c r="J501" s="13" t="s">
        <v>38</v>
      </c>
      <c r="K501" s="13" t="s">
        <v>7</v>
      </c>
      <c r="L501" s="13" t="s">
        <v>39</v>
      </c>
      <c r="M501" s="13" t="s">
        <v>18</v>
      </c>
      <c r="N501" s="14">
        <v>10</v>
      </c>
      <c r="O501" s="13" t="s">
        <v>35</v>
      </c>
      <c r="P501" s="13" t="s">
        <v>35</v>
      </c>
      <c r="Q501" s="13" t="s">
        <v>35</v>
      </c>
      <c r="R501" s="13" t="s">
        <v>19</v>
      </c>
      <c r="S501" s="15"/>
    </row>
    <row r="502" spans="1:19" x14ac:dyDescent="0.3">
      <c r="A502" s="1" t="e">
        <f>IF(C502="","",MAX($A$2:A501)+1)</f>
        <v>#REF!</v>
      </c>
      <c r="B502" s="17" t="s">
        <v>36</v>
      </c>
      <c r="C502" s="3">
        <v>46100</v>
      </c>
      <c r="D502" s="5" t="str">
        <f>_xlfn.XLOOKUP([1]!Table134526_79101120212223242526[[#This Row],[Name Surname]],[1]Manpower!$C$4:$C$1048576,[1]Manpower!$B$4:$B$1048576,"")</f>
        <v>Encogroup</v>
      </c>
      <c r="E502" s="5" t="s">
        <v>112</v>
      </c>
      <c r="F502" s="4" t="e">
        <f>_xlfn.XLOOKUP([1]!Table134526_79101120212223242526[[#This Row],[Name Surname]],[1]Manpower!C:C,[1]Manpower!D:D,)</f>
        <v>#N/A</v>
      </c>
      <c r="G502" s="5" t="str">
        <f>_xlfn.XLOOKUP([1]!Table134526_79101120212223242526[[#This Row],[Name Surname]],[1]Manpower!$C$4:$C$1048576,[1]Manpower!$F$4:$F$1048576,"")</f>
        <v>35 KVA Generator</v>
      </c>
      <c r="H502" s="5" t="str">
        <f>_xlfn.XLOOKUP([1]!Table134526_79101120212223242526[[#This Row],[Name Surname]],[1]Manpower!$C$4:$C$1048576,[1]Manpower!$H$4:$H$1048576,"")</f>
        <v>Equipment</v>
      </c>
      <c r="I502" s="5" t="str">
        <f>_xlfn.XLOOKUP([1]!Table134526_79101120212223242526[[#This Row],[Name Surname]],[1]Manpower!$C$4:$C$1048576,[1]Manpower!$H$4:$H$1048576,"")</f>
        <v>Equipment</v>
      </c>
      <c r="J502" s="5" t="s">
        <v>38</v>
      </c>
      <c r="K502" s="5" t="s">
        <v>7</v>
      </c>
      <c r="L502" s="5" t="s">
        <v>39</v>
      </c>
      <c r="M502" s="5" t="s">
        <v>18</v>
      </c>
      <c r="N502" s="6">
        <v>10</v>
      </c>
      <c r="O502" s="5" t="s">
        <v>35</v>
      </c>
      <c r="P502" s="5" t="s">
        <v>35</v>
      </c>
      <c r="Q502" s="5" t="s">
        <v>35</v>
      </c>
      <c r="R502" s="5" t="s">
        <v>19</v>
      </c>
      <c r="S502" s="8"/>
    </row>
    <row r="503" spans="1:19" x14ac:dyDescent="0.3">
      <c r="A503" s="9" t="e">
        <f>IF(C503="","",MAX($A$2:A502)+1)</f>
        <v>#REF!</v>
      </c>
      <c r="B503" s="17" t="s">
        <v>36</v>
      </c>
      <c r="C503" s="11">
        <v>46100</v>
      </c>
      <c r="D503" s="13" t="str">
        <f>_xlfn.XLOOKUP([1]!Table134526_79101120212223242526[[#This Row],[Name Surname]],[1]Manpower!$C$4:$C$1048576,[1]Manpower!$B$4:$B$1048576,"")</f>
        <v>Encogroup</v>
      </c>
      <c r="E503" s="11" t="s">
        <v>52</v>
      </c>
      <c r="F503" s="12">
        <f>_xlfn.XLOOKUP([1]!Table134526_79101120212223242526[[#This Row],[Name Surname]],[1]Manpower!C:C,[1]Manpower!D:D,)</f>
        <v>140742144</v>
      </c>
      <c r="G503" s="13" t="str">
        <f>_xlfn.XLOOKUP([1]!Table134526_79101120212223242526[[#This Row],[Name Surname]],[1]Manpower!$C$4:$C$1048576,[1]Manpower!$F$4:$F$1048576,"")</f>
        <v>Assistant/Helper</v>
      </c>
      <c r="H503" s="13" t="str">
        <f>_xlfn.XLOOKUP([1]!Table134526_79101120212223242526[[#This Row],[Name Surname]],[1]Manpower!$C$4:$C$1048576,[1]Manpower!$H$4:$H$1048576,"")</f>
        <v>Manpower</v>
      </c>
      <c r="I503" s="13" t="str">
        <f>_xlfn.XLOOKUP([1]!Table134526_79101120212223242526[[#This Row],[Name Surname]],[1]Manpower!$C$4:$C$1048576,[1]Manpower!$H$4:$H$1048576,"")</f>
        <v>Manpower</v>
      </c>
      <c r="J503" s="13" t="s">
        <v>38</v>
      </c>
      <c r="K503" s="13" t="s">
        <v>7</v>
      </c>
      <c r="L503" s="13" t="s">
        <v>39</v>
      </c>
      <c r="M503" s="13" t="s">
        <v>5</v>
      </c>
      <c r="N503" s="14">
        <v>10</v>
      </c>
      <c r="O503" s="13" t="s">
        <v>33</v>
      </c>
      <c r="P503" s="13" t="s">
        <v>33</v>
      </c>
      <c r="Q503" s="13" t="s">
        <v>33</v>
      </c>
      <c r="R503" s="13" t="s">
        <v>7</v>
      </c>
      <c r="S503" s="15"/>
    </row>
    <row r="504" spans="1:19" x14ac:dyDescent="0.3">
      <c r="A504" s="1" t="e">
        <f>IF(C504="","",MAX($A$2:A503)+1)</f>
        <v>#REF!</v>
      </c>
      <c r="B504" s="17" t="s">
        <v>36</v>
      </c>
      <c r="C504" s="3">
        <v>46100</v>
      </c>
      <c r="D504" s="5" t="str">
        <f>_xlfn.XLOOKUP([1]!Table134526_79101120212223242526[[#This Row],[Name Surname]],[1]Manpower!$C$4:$C$1048576,[1]Manpower!$B$4:$B$1048576,"")</f>
        <v>SARENS NASS</v>
      </c>
      <c r="E504" s="5" t="s">
        <v>53</v>
      </c>
      <c r="F504" s="4">
        <f>_xlfn.XLOOKUP([1]!Table134526_79101120212223242526[[#This Row],[Name Surname]],[1]Manpower!C:C,[1]Manpower!D:D,)</f>
        <v>78753612</v>
      </c>
      <c r="G504" s="5" t="str">
        <f>_xlfn.XLOOKUP([1]!Table134526_79101120212223242526[[#This Row],[Name Surname]],[1]Manpower!$C$4:$C$1048576,[1]Manpower!$F$4:$F$1048576,"")</f>
        <v>Crane Operator- 70T Liebherr Telescopic Crane-02</v>
      </c>
      <c r="H504" s="5" t="str">
        <f>_xlfn.XLOOKUP([1]!Table134526_79101120212223242526[[#This Row],[Name Surname]],[1]Manpower!$C$4:$C$1048576,[1]Manpower!$H$4:$H$1048576,"")</f>
        <v>Manpower</v>
      </c>
      <c r="I504" s="5" t="str">
        <f>_xlfn.XLOOKUP([1]!Table134526_79101120212223242526[[#This Row],[Name Surname]],[1]Manpower!$C$4:$C$1048576,[1]Manpower!$H$4:$H$1048576,"")</f>
        <v>Manpower</v>
      </c>
      <c r="J504" s="5" t="s">
        <v>38</v>
      </c>
      <c r="K504" s="5" t="s">
        <v>7</v>
      </c>
      <c r="L504" s="5" t="s">
        <v>39</v>
      </c>
      <c r="M504" s="5" t="s">
        <v>5</v>
      </c>
      <c r="N504" s="6">
        <v>10</v>
      </c>
      <c r="O504" s="5" t="s">
        <v>33</v>
      </c>
      <c r="P504" s="5" t="s">
        <v>33</v>
      </c>
      <c r="Q504" s="5" t="s">
        <v>33</v>
      </c>
      <c r="R504" s="5" t="s">
        <v>7</v>
      </c>
      <c r="S504" s="8"/>
    </row>
    <row r="505" spans="1:19" x14ac:dyDescent="0.3">
      <c r="A505" s="9" t="e">
        <f>IF(C505="","",MAX($A$2:A504)+1)</f>
        <v>#REF!</v>
      </c>
      <c r="B505" s="17" t="s">
        <v>36</v>
      </c>
      <c r="C505" s="11">
        <v>46100</v>
      </c>
      <c r="D505" s="13" t="str">
        <f>_xlfn.XLOOKUP([1]!Table134526_79101120212223242526[[#This Row],[Name Surname]],[1]Manpower!$C$4:$C$1048576,[1]Manpower!$B$4:$B$1048576,"")</f>
        <v>Al Jaber Heavy Lift</v>
      </c>
      <c r="E505" s="13" t="s">
        <v>54</v>
      </c>
      <c r="F505" s="12">
        <f>_xlfn.XLOOKUP([1]!Table134526_79101120212223242526[[#This Row],[Name Surname]],[1]Manpower!C:C,[1]Manpower!D:D,)</f>
        <v>112778626</v>
      </c>
      <c r="G505" s="13" t="str">
        <f>_xlfn.XLOOKUP([1]!Table134526_79101120212223242526[[#This Row],[Name Surname]],[1]Manpower!$C$4:$C$1048576,[1]Manpower!$F$4:$F$1048576,"")</f>
        <v>Crane Operator-150T Hitachi Crawler</v>
      </c>
      <c r="H505" s="13" t="str">
        <f>_xlfn.XLOOKUP([1]!Table134526_79101120212223242526[[#This Row],[Name Surname]],[1]Manpower!$C$4:$C$1048576,[1]Manpower!$H$4:$H$1048576,"")</f>
        <v>Manpower</v>
      </c>
      <c r="I505" s="13" t="str">
        <f>_xlfn.XLOOKUP([1]!Table134526_79101120212223242526[[#This Row],[Name Surname]],[1]Manpower!$C$4:$C$1048576,[1]Manpower!$H$4:$H$1048576,"")</f>
        <v>Manpower</v>
      </c>
      <c r="J505" s="13" t="s">
        <v>38</v>
      </c>
      <c r="K505" s="13" t="s">
        <v>7</v>
      </c>
      <c r="L505" s="13" t="s">
        <v>39</v>
      </c>
      <c r="M505" s="13" t="s">
        <v>5</v>
      </c>
      <c r="N505" s="14">
        <v>10</v>
      </c>
      <c r="O505" s="13" t="s">
        <v>33</v>
      </c>
      <c r="P505" s="13" t="s">
        <v>33</v>
      </c>
      <c r="Q505" s="13" t="s">
        <v>33</v>
      </c>
      <c r="R505" s="13" t="s">
        <v>7</v>
      </c>
      <c r="S505" s="15"/>
    </row>
    <row r="506" spans="1:19" x14ac:dyDescent="0.3">
      <c r="A506" s="1" t="e">
        <f>IF(C506="","",MAX($A$2:A505)+1)</f>
        <v>#REF!</v>
      </c>
      <c r="B506" s="17" t="s">
        <v>36</v>
      </c>
      <c r="C506" s="3">
        <v>46100</v>
      </c>
      <c r="D506" s="5" t="str">
        <f>_xlfn.XLOOKUP([1]!Table134526_79101120212223242526[[#This Row],[Name Surname]],[1]Manpower!$C$4:$C$1048576,[1]Manpower!$B$4:$B$1048576,"")</f>
        <v>Encogroup</v>
      </c>
      <c r="E506" s="5" t="s">
        <v>55</v>
      </c>
      <c r="F506" s="4" t="str">
        <f>_xlfn.XLOOKUP([1]!Table134526_79101120212223242526[[#This Row],[Name Surname]],[1]Manpower!C:C,[1]Manpower!D:D,)</f>
        <v>U4181508</v>
      </c>
      <c r="G506" s="5" t="str">
        <f>_xlfn.XLOOKUP([1]!Table134526_79101120212223242526[[#This Row],[Name Surname]],[1]Manpower!$C$4:$C$1048576,[1]Manpower!$F$4:$F$1048576,"")</f>
        <v>Welder</v>
      </c>
      <c r="H506" s="5" t="str">
        <f>_xlfn.XLOOKUP([1]!Table134526_79101120212223242526[[#This Row],[Name Surname]],[1]Manpower!$C$4:$C$1048576,[1]Manpower!$H$4:$H$1048576,"")</f>
        <v>Manpower</v>
      </c>
      <c r="I506" s="5" t="str">
        <f>_xlfn.XLOOKUP([1]!Table134526_79101120212223242526[[#This Row],[Name Surname]],[1]Manpower!$C$4:$C$1048576,[1]Manpower!$H$4:$H$1048576,"")</f>
        <v>Manpower</v>
      </c>
      <c r="J506" s="5" t="s">
        <v>38</v>
      </c>
      <c r="K506" s="5" t="s">
        <v>7</v>
      </c>
      <c r="L506" s="5" t="s">
        <v>39</v>
      </c>
      <c r="M506" s="5" t="s">
        <v>5</v>
      </c>
      <c r="N506" s="6">
        <v>10</v>
      </c>
      <c r="O506" s="5" t="s">
        <v>33</v>
      </c>
      <c r="P506" s="5" t="s">
        <v>33</v>
      </c>
      <c r="Q506" s="5" t="s">
        <v>33</v>
      </c>
      <c r="R506" s="5" t="s">
        <v>7</v>
      </c>
      <c r="S506" s="8"/>
    </row>
    <row r="507" spans="1:19" x14ac:dyDescent="0.3">
      <c r="A507" s="9" t="e">
        <f>IF(C507="","",MAX($A$2:A506)+1)</f>
        <v>#REF!</v>
      </c>
      <c r="B507" s="17" t="s">
        <v>36</v>
      </c>
      <c r="C507" s="11">
        <v>46100</v>
      </c>
      <c r="D507" s="13" t="str">
        <f>_xlfn.XLOOKUP([1]!Table134526_79101120212223242526[[#This Row],[Name Surname]],[1]Manpower!$C$4:$C$1048576,[1]Manpower!$B$4:$B$1048576,"")</f>
        <v>Encogroup</v>
      </c>
      <c r="E507" s="13" t="s">
        <v>56</v>
      </c>
      <c r="F507" s="12">
        <f>_xlfn.XLOOKUP([1]!Table134526_79101120212223242526[[#This Row],[Name Surname]],[1]Manpower!C:C,[1]Manpower!D:D,)</f>
        <v>125440631</v>
      </c>
      <c r="G507" s="13" t="str">
        <f>_xlfn.XLOOKUP([1]!Table134526_79101120212223242526[[#This Row],[Name Surname]],[1]Manpower!$C$4:$C$1048576,[1]Manpower!$F$4:$F$1048576,"")</f>
        <v>Rigger</v>
      </c>
      <c r="H507" s="13" t="str">
        <f>_xlfn.XLOOKUP([1]!Table134526_79101120212223242526[[#This Row],[Name Surname]],[1]Manpower!$C$4:$C$1048576,[1]Manpower!$H$4:$H$1048576,"")</f>
        <v>Manpower</v>
      </c>
      <c r="I507" s="13" t="str">
        <f>_xlfn.XLOOKUP([1]!Table134526_79101120212223242526[[#This Row],[Name Surname]],[1]Manpower!$C$4:$C$1048576,[1]Manpower!$H$4:$H$1048576,"")</f>
        <v>Manpower</v>
      </c>
      <c r="J507" s="13" t="s">
        <v>38</v>
      </c>
      <c r="K507" s="13" t="s">
        <v>7</v>
      </c>
      <c r="L507" s="13" t="s">
        <v>39</v>
      </c>
      <c r="M507" s="13" t="s">
        <v>5</v>
      </c>
      <c r="N507" s="14">
        <v>10</v>
      </c>
      <c r="O507" s="13" t="s">
        <v>33</v>
      </c>
      <c r="P507" s="13" t="s">
        <v>33</v>
      </c>
      <c r="Q507" s="13" t="s">
        <v>33</v>
      </c>
      <c r="R507" s="13" t="s">
        <v>7</v>
      </c>
      <c r="S507" s="15"/>
    </row>
    <row r="508" spans="1:19" x14ac:dyDescent="0.3">
      <c r="A508" s="1" t="e">
        <f>IF(C508="","",MAX($A$2:A507)+1)</f>
        <v>#REF!</v>
      </c>
      <c r="B508" s="17" t="s">
        <v>36</v>
      </c>
      <c r="C508" s="3">
        <v>46100</v>
      </c>
      <c r="D508" s="5" t="str">
        <f>_xlfn.XLOOKUP([1]!Table134526_79101120212223242526[[#This Row],[Name Surname]],[1]Manpower!$C$4:$C$1048576,[1]Manpower!$B$4:$B$1048576,"")</f>
        <v>AL Omar International TRAD AND CONT</v>
      </c>
      <c r="E508" s="5" t="s">
        <v>57</v>
      </c>
      <c r="F508" s="4">
        <f>_xlfn.XLOOKUP([1]!Table134526_79101120212223242526[[#This Row],[Name Surname]],[1]Manpower!C:C,[1]Manpower!D:D,)</f>
        <v>115731078</v>
      </c>
      <c r="G508" s="5" t="str">
        <f>_xlfn.XLOOKUP([1]!Table134526_79101120212223242526[[#This Row],[Name Surname]],[1]Manpower!$C$4:$C$1048576,[1]Manpower!$F$4:$F$1048576,"")</f>
        <v>Scaffolder</v>
      </c>
      <c r="H508" s="5" t="str">
        <f>_xlfn.XLOOKUP([1]!Table134526_79101120212223242526[[#This Row],[Name Surname]],[1]Manpower!$C$4:$C$1048576,[1]Manpower!$H$4:$H$1048576,"")</f>
        <v>Sub Contactor</v>
      </c>
      <c r="I508" s="5" t="str">
        <f>_xlfn.XLOOKUP([1]!Table134526_79101120212223242526[[#This Row],[Name Surname]],[1]Manpower!$C$4:$C$1048576,[1]Manpower!$H$4:$H$1048576,"")</f>
        <v>Sub Contactor</v>
      </c>
      <c r="J508" s="5" t="s">
        <v>38</v>
      </c>
      <c r="K508" s="5" t="s">
        <v>7</v>
      </c>
      <c r="L508" s="5" t="s">
        <v>39</v>
      </c>
      <c r="M508" s="5" t="s">
        <v>5</v>
      </c>
      <c r="N508" s="6">
        <v>8</v>
      </c>
      <c r="O508" s="5" t="s">
        <v>11</v>
      </c>
      <c r="P508" s="5" t="s">
        <v>13</v>
      </c>
      <c r="Q508" s="5" t="s">
        <v>13</v>
      </c>
      <c r="R508" s="5" t="s">
        <v>7</v>
      </c>
      <c r="S508" s="8"/>
    </row>
    <row r="509" spans="1:19" x14ac:dyDescent="0.3">
      <c r="A509" s="9" t="e">
        <f>IF(C509="","",MAX($A$2:A508)+1)</f>
        <v>#REF!</v>
      </c>
      <c r="B509" s="17" t="s">
        <v>36</v>
      </c>
      <c r="C509" s="11">
        <v>46100</v>
      </c>
      <c r="D509" s="13" t="str">
        <f>_xlfn.XLOOKUP([1]!Table134526_79101120212223242526[[#This Row],[Name Surname]],[1]Manpower!$C$4:$C$1048576,[1]Manpower!$B$4:$B$1048576,"")</f>
        <v>Encogroup</v>
      </c>
      <c r="E509" s="13" t="s">
        <v>111</v>
      </c>
      <c r="F509" s="12">
        <f>_xlfn.XLOOKUP([1]!Table134526_79101120212223242526[[#This Row],[Name Surname]],[1]Manpower!C:C,[1]Manpower!D:D,)</f>
        <v>140764355</v>
      </c>
      <c r="G509" s="13" t="str">
        <f>_xlfn.XLOOKUP([1]!Table134526_79101120212223242526[[#This Row],[Name Surname]],[1]Manpower!$C$4:$C$1048576,[1]Manpower!$F$4:$F$1048576,"")</f>
        <v>Fitter/Erector</v>
      </c>
      <c r="H509" s="13" t="str">
        <f>_xlfn.XLOOKUP([1]!Table134526_79101120212223242526[[#This Row],[Name Surname]],[1]Manpower!$C$4:$C$1048576,[1]Manpower!$H$4:$H$1048576,"")</f>
        <v>Manpower</v>
      </c>
      <c r="I509" s="13" t="str">
        <f>_xlfn.XLOOKUP([1]!Table134526_79101120212223242526[[#This Row],[Name Surname]],[1]Manpower!$C$4:$C$1048576,[1]Manpower!$H$4:$H$1048576,"")</f>
        <v>Manpower</v>
      </c>
      <c r="J509" s="13" t="s">
        <v>38</v>
      </c>
      <c r="K509" s="13" t="s">
        <v>7</v>
      </c>
      <c r="L509" s="13" t="s">
        <v>39</v>
      </c>
      <c r="M509" s="13" t="s">
        <v>18</v>
      </c>
      <c r="N509" s="14">
        <v>10</v>
      </c>
      <c r="O509" s="13"/>
      <c r="P509" s="13"/>
      <c r="Q509" s="13"/>
      <c r="R509" s="13" t="s">
        <v>19</v>
      </c>
      <c r="S509" s="15"/>
    </row>
    <row r="510" spans="1:19" x14ac:dyDescent="0.3">
      <c r="A510" s="1" t="e">
        <f>IF(C510="","",MAX($A$2:A508)+1)</f>
        <v>#REF!</v>
      </c>
      <c r="B510" s="17" t="s">
        <v>36</v>
      </c>
      <c r="C510" s="3">
        <v>46100</v>
      </c>
      <c r="D510" s="5" t="str">
        <f>_xlfn.XLOOKUP([1]!Table134526_79101120212223242526[[#This Row],[Name Surname]],[1]Manpower!$C$4:$C$1048576,[1]Manpower!$B$4:$B$1048576,"")</f>
        <v>Encogroup</v>
      </c>
      <c r="E510" s="5" t="s">
        <v>112</v>
      </c>
      <c r="F510" s="4" t="str">
        <f>_xlfn.XLOOKUP([1]!Table134526_79101120212223242526[[#This Row],[Name Surname]],[1]Manpower!C:C,[1]Manpower!D:D,)</f>
        <v>S3549132</v>
      </c>
      <c r="G510" s="5" t="str">
        <f>_xlfn.XLOOKUP([1]!Table134526_79101120212223242526[[#This Row],[Name Surname]],[1]Manpower!$C$4:$C$1048576,[1]Manpower!$F$4:$F$1048576,"")</f>
        <v>Grinder</v>
      </c>
      <c r="H510" s="5" t="str">
        <f>_xlfn.XLOOKUP([1]!Table134526_79101120212223242526[[#This Row],[Name Surname]],[1]Manpower!$C$4:$C$1048576,[1]Manpower!$H$4:$H$1048576,"")</f>
        <v>Manpower</v>
      </c>
      <c r="I510" s="5" t="str">
        <f>_xlfn.XLOOKUP([1]!Table134526_79101120212223242526[[#This Row],[Name Surname]],[1]Manpower!$C$4:$C$1048576,[1]Manpower!$H$4:$H$1048576,"")</f>
        <v>Manpower</v>
      </c>
      <c r="J510" s="5" t="s">
        <v>38</v>
      </c>
      <c r="K510" s="5" t="s">
        <v>7</v>
      </c>
      <c r="L510" s="5" t="s">
        <v>39</v>
      </c>
      <c r="M510" s="5" t="s">
        <v>18</v>
      </c>
      <c r="N510" s="6">
        <v>10</v>
      </c>
      <c r="O510" s="5"/>
      <c r="P510" s="5"/>
      <c r="Q510" s="5"/>
      <c r="R510" s="5" t="s">
        <v>19</v>
      </c>
      <c r="S510" s="8"/>
    </row>
    <row r="511" spans="1:19" x14ac:dyDescent="0.3">
      <c r="A511" s="9" t="e">
        <f>IF(C511="","",MAX($A$2:A508)+1)</f>
        <v>#REF!</v>
      </c>
      <c r="B511" s="17" t="s">
        <v>36</v>
      </c>
      <c r="C511" s="11">
        <v>46100</v>
      </c>
      <c r="D511" s="13" t="str">
        <f>_xlfn.XLOOKUP([1]!Table134526_79101120212223242526[[#This Row],[Name Surname]],[1]Manpower!$C$4:$C$1048576,[1]Manpower!$B$4:$B$1048576,"")</f>
        <v>Encogroup</v>
      </c>
      <c r="E511" s="13" t="s">
        <v>123</v>
      </c>
      <c r="F511" s="12">
        <f>_xlfn.XLOOKUP([1]!Table134526_79101120212223242526[[#This Row],[Name Surname]],[1]Manpower!C:C,[1]Manpower!D:D,)</f>
        <v>140742125</v>
      </c>
      <c r="G511" s="13" t="str">
        <f>_xlfn.XLOOKUP([1]!Table134526_79101120212223242526[[#This Row],[Name Surname]],[1]Manpower!$C$4:$C$1048576,[1]Manpower!$F$4:$F$1048576,"")</f>
        <v>Assistant/Helper</v>
      </c>
      <c r="H511" s="13" t="str">
        <f>_xlfn.XLOOKUP([1]!Table134526_79101120212223242526[[#This Row],[Name Surname]],[1]Manpower!$C$4:$C$1048576,[1]Manpower!$H$4:$H$1048576,"")</f>
        <v>Manpower</v>
      </c>
      <c r="I511" s="13" t="str">
        <f>_xlfn.XLOOKUP([1]!Table134526_79101120212223242526[[#This Row],[Name Surname]],[1]Manpower!$C$4:$C$1048576,[1]Manpower!$H$4:$H$1048576,"")</f>
        <v>Manpower</v>
      </c>
      <c r="J511" s="13" t="s">
        <v>38</v>
      </c>
      <c r="K511" s="13" t="s">
        <v>7</v>
      </c>
      <c r="L511" s="13" t="s">
        <v>39</v>
      </c>
      <c r="M511" s="13" t="s">
        <v>5</v>
      </c>
      <c r="N511" s="14">
        <v>8</v>
      </c>
      <c r="O511" s="13" t="s">
        <v>11</v>
      </c>
      <c r="P511" s="13" t="s">
        <v>13</v>
      </c>
      <c r="Q511" s="13" t="s">
        <v>13</v>
      </c>
      <c r="R511" s="13" t="s">
        <v>7</v>
      </c>
      <c r="S511" s="15"/>
    </row>
    <row r="512" spans="1:19" x14ac:dyDescent="0.3">
      <c r="A512" s="1" t="e">
        <f>IF(C512="","",MAX($A$2:A511)+1)</f>
        <v>#REF!</v>
      </c>
      <c r="B512" s="17" t="s">
        <v>36</v>
      </c>
      <c r="C512" s="3">
        <v>46100</v>
      </c>
      <c r="D512" s="5" t="str">
        <f>_xlfn.XLOOKUP([1]!Table134526_79101120212223242526[[#This Row],[Name Surname]],[1]Manpower!$C$4:$C$1048576,[1]Manpower!$B$4:$B$1048576,"")</f>
        <v>Encogroup</v>
      </c>
      <c r="E512" s="3" t="s">
        <v>58</v>
      </c>
      <c r="F512" s="4">
        <f>_xlfn.XLOOKUP([1]!Table134526_79101120212223242526[[#This Row],[Name Surname]],[1]Manpower!C:C,[1]Manpower!D:D,)</f>
        <v>125199963</v>
      </c>
      <c r="G512" s="5" t="str">
        <f>_xlfn.XLOOKUP([1]!Table134526_79101120212223242526[[#This Row],[Name Surname]],[1]Manpower!$C$4:$C$1048576,[1]Manpower!$F$4:$F$1048576,"")</f>
        <v>Electrician</v>
      </c>
      <c r="H512" s="5" t="str">
        <f>_xlfn.XLOOKUP([1]!Table134526_79101120212223242526[[#This Row],[Name Surname]],[1]Manpower!$C$4:$C$1048576,[1]Manpower!$H$4:$H$1048576,"")</f>
        <v>Manpower</v>
      </c>
      <c r="I512" s="5" t="str">
        <f>_xlfn.XLOOKUP([1]!Table134526_79101120212223242526[[#This Row],[Name Surname]],[1]Manpower!$C$4:$C$1048576,[1]Manpower!$H$4:$H$1048576,"")</f>
        <v>Manpower</v>
      </c>
      <c r="J512" s="5" t="s">
        <v>38</v>
      </c>
      <c r="K512" s="5" t="s">
        <v>7</v>
      </c>
      <c r="L512" s="5" t="s">
        <v>39</v>
      </c>
      <c r="M512" s="5" t="s">
        <v>18</v>
      </c>
      <c r="N512" s="6">
        <v>10</v>
      </c>
      <c r="O512" s="5"/>
      <c r="P512" s="5"/>
      <c r="Q512" s="5"/>
      <c r="R512" s="5" t="s">
        <v>19</v>
      </c>
      <c r="S512" s="8"/>
    </row>
    <row r="513" spans="1:19" x14ac:dyDescent="0.3">
      <c r="A513" s="9" t="e">
        <f>IF(C513="","",MAX($A$2:A512)+1)</f>
        <v>#REF!</v>
      </c>
      <c r="B513" s="17" t="s">
        <v>36</v>
      </c>
      <c r="C513" s="11">
        <v>46100</v>
      </c>
      <c r="D513" s="13" t="str">
        <f>_xlfn.XLOOKUP([1]!Table134526_79101120212223242526[[#This Row],[Name Surname]],[1]Manpower!$C$4:$C$1048576,[1]Manpower!$B$4:$B$1048576,"")</f>
        <v>Encogroup</v>
      </c>
      <c r="E513" s="11" t="s">
        <v>59</v>
      </c>
      <c r="F513" s="12">
        <f>_xlfn.XLOOKUP([1]!Table134526_79101120212223242526[[#This Row],[Name Surname]],[1]Manpower!C:C,[1]Manpower!D:D,)</f>
        <v>124398279</v>
      </c>
      <c r="G513" s="13" t="str">
        <f>_xlfn.XLOOKUP([1]!Table134526_79101120212223242526[[#This Row],[Name Surname]],[1]Manpower!$C$4:$C$1048576,[1]Manpower!$F$4:$F$1048576,"")</f>
        <v>Permit Receiver</v>
      </c>
      <c r="H513" s="13" t="str">
        <f>_xlfn.XLOOKUP([1]!Table134526_79101120212223242526[[#This Row],[Name Surname]],[1]Manpower!$C$4:$C$1048576,[1]Manpower!$H$4:$H$1048576,"")</f>
        <v>Manpower</v>
      </c>
      <c r="I513" s="13" t="str">
        <f>_xlfn.XLOOKUP([1]!Table134526_79101120212223242526[[#This Row],[Name Surname]],[1]Manpower!$C$4:$C$1048576,[1]Manpower!$H$4:$H$1048576,"")</f>
        <v>Manpower</v>
      </c>
      <c r="J513" s="13" t="s">
        <v>38</v>
      </c>
      <c r="K513" s="13" t="s">
        <v>7</v>
      </c>
      <c r="L513" s="13" t="s">
        <v>39</v>
      </c>
      <c r="M513" s="13" t="s">
        <v>18</v>
      </c>
      <c r="N513" s="14">
        <v>10</v>
      </c>
      <c r="O513" s="13"/>
      <c r="P513" s="13"/>
      <c r="Q513" s="13"/>
      <c r="R513" s="13" t="s">
        <v>19</v>
      </c>
      <c r="S513" s="15"/>
    </row>
    <row r="514" spans="1:19" x14ac:dyDescent="0.3">
      <c r="A514" s="1" t="e">
        <f>IF(C514="","",MAX($A$2:A513)+1)</f>
        <v>#REF!</v>
      </c>
      <c r="B514" s="2" t="s">
        <v>0</v>
      </c>
      <c r="C514" s="3">
        <v>46103</v>
      </c>
      <c r="D514" s="5" t="str">
        <f>_xlfn.XLOOKUP([1]!Table134526_79101120212223242526[[#This Row],[Name Surname]],[1]Manpower!$C$4:$C$1048576,[1]Manpower!$B$4:$B$1048576,"")</f>
        <v>Encogroup</v>
      </c>
      <c r="E514" s="5" t="s">
        <v>129</v>
      </c>
      <c r="F514" s="4">
        <f>_xlfn.XLOOKUP([1]!Table134526_79101120212223242526[[#This Row],[Name Surname]],[1]Manpower!C:C,[1]Manpower!D:D,)</f>
        <v>140809004</v>
      </c>
      <c r="G514" s="5" t="str">
        <f>_xlfn.XLOOKUP([1]!Table134526_79101120212223242526[[#This Row],[Name Surname]],[1]Manpower!$C$4:$C$1048576,[1]Manpower!$F$4:$F$1048576,"")</f>
        <v>Fitter/Erector</v>
      </c>
      <c r="H514" s="5" t="str">
        <f>_xlfn.XLOOKUP([1]!Table134526_79101120212223242526[[#This Row],[Name Surname]],[1]Manpower!$C$4:$C$1048576,[1]Manpower!$H$4:$H$1048576,"")</f>
        <v>Manpower</v>
      </c>
      <c r="I514" s="5" t="str">
        <f>_xlfn.XLOOKUP([1]!Table134526_79101120212223242526[[#This Row],[Name Surname]],[1]Manpower!$C$4:$C$1048576,[1]Manpower!$H$4:$H$1048576,"")</f>
        <v>Manpower</v>
      </c>
      <c r="J514" s="5" t="s">
        <v>2</v>
      </c>
      <c r="K514" s="5" t="s">
        <v>130</v>
      </c>
      <c r="L514" s="5" t="s">
        <v>10</v>
      </c>
      <c r="M514" s="5" t="s">
        <v>18</v>
      </c>
      <c r="N514" s="6">
        <v>10</v>
      </c>
      <c r="O514" s="5" t="s">
        <v>6</v>
      </c>
      <c r="P514" s="5" t="s">
        <v>12</v>
      </c>
      <c r="Q514" s="5" t="s">
        <v>29</v>
      </c>
      <c r="R514" s="5" t="s">
        <v>131</v>
      </c>
      <c r="S514" s="8"/>
    </row>
    <row r="515" spans="1:19" x14ac:dyDescent="0.3">
      <c r="A515" s="9" t="e">
        <f>IF(C515="","",MAX($A$2:A514)+1)</f>
        <v>#REF!</v>
      </c>
      <c r="B515" s="2" t="s">
        <v>0</v>
      </c>
      <c r="C515" s="11">
        <v>46103</v>
      </c>
      <c r="D515" s="13" t="str">
        <f>_xlfn.XLOOKUP([1]!Table134526_79101120212223242526[[#This Row],[Name Surname]],[1]Manpower!$C$4:$C$1048576,[1]Manpower!$B$4:$B$1048576,"")</f>
        <v>Encogroup</v>
      </c>
      <c r="E515" s="13" t="s">
        <v>46</v>
      </c>
      <c r="F515" s="12">
        <f>_xlfn.XLOOKUP([1]!Table134526_79101120212223242526[[#This Row],[Name Surname]],[1]Manpower!C:C,[1]Manpower!D:D,)</f>
        <v>140683436</v>
      </c>
      <c r="G515" s="13" t="str">
        <f>_xlfn.XLOOKUP([1]!Table134526_79101120212223242526[[#This Row],[Name Surname]],[1]Manpower!$C$4:$C$1048576,[1]Manpower!$F$4:$F$1048576,"")</f>
        <v>Scaffolder</v>
      </c>
      <c r="H515" s="13" t="str">
        <f>_xlfn.XLOOKUP([1]!Table134526_79101120212223242526[[#This Row],[Name Surname]],[1]Manpower!$C$4:$C$1048576,[1]Manpower!$H$4:$H$1048576,"")</f>
        <v>Manpower</v>
      </c>
      <c r="I515" s="13" t="str">
        <f>_xlfn.XLOOKUP([1]!Table134526_79101120212223242526[[#This Row],[Name Surname]],[1]Manpower!$C$4:$C$1048576,[1]Manpower!$H$4:$H$1048576,"")</f>
        <v>Manpower</v>
      </c>
      <c r="J515" s="13" t="s">
        <v>2</v>
      </c>
      <c r="K515" s="13" t="s">
        <v>130</v>
      </c>
      <c r="L515" s="13" t="s">
        <v>10</v>
      </c>
      <c r="M515" s="13" t="s">
        <v>18</v>
      </c>
      <c r="N515" s="14">
        <v>10</v>
      </c>
      <c r="O515" s="13" t="s">
        <v>6</v>
      </c>
      <c r="P515" s="13" t="s">
        <v>12</v>
      </c>
      <c r="Q515" s="13" t="s">
        <v>29</v>
      </c>
      <c r="R515" s="13" t="s">
        <v>132</v>
      </c>
      <c r="S515" s="15"/>
    </row>
    <row r="516" spans="1:19" x14ac:dyDescent="0.3">
      <c r="A516" s="1" t="e">
        <f>IF(C516="","",MAX($A$2:A515)+1)</f>
        <v>#REF!</v>
      </c>
      <c r="B516" s="10" t="s">
        <v>0</v>
      </c>
      <c r="C516" s="3">
        <v>46103</v>
      </c>
      <c r="D516" s="5" t="str">
        <f>_xlfn.XLOOKUP([1]!Table134526_79101120212223242526[[#This Row],[Name Surname]],[1]Manpower!$C$4:$C$1048576,[1]Manpower!$B$4:$B$1048576,"")</f>
        <v>Encogroup</v>
      </c>
      <c r="E516" s="3" t="s">
        <v>61</v>
      </c>
      <c r="F516" s="4" t="e">
        <f>_xlfn.XLOOKUP([1]!Table134526_79101120212223242526[[#This Row],[Name Surname]],[1]Manpower!C:C,[1]Manpower!D:D,)</f>
        <v>#N/A</v>
      </c>
      <c r="G516" s="5" t="str">
        <f>_xlfn.XLOOKUP([1]!Table134526_79101120212223242526[[#This Row],[Name Surname]],[1]Manpower!$C$4:$C$1048576,[1]Manpower!$F$4:$F$1048576,"")</f>
        <v>7T-HIAB</v>
      </c>
      <c r="H516" s="5" t="str">
        <f>_xlfn.XLOOKUP([1]!Table134526_79101120212223242526[[#This Row],[Name Surname]],[1]Manpower!$C$4:$C$1048576,[1]Manpower!$H$4:$H$1048576,"")</f>
        <v>Equipment</v>
      </c>
      <c r="I516" s="5" t="str">
        <f>_xlfn.XLOOKUP([1]!Table134526_79101120212223242526[[#This Row],[Name Surname]],[1]Manpower!$C$4:$C$1048576,[1]Manpower!$H$4:$H$1048576,"")</f>
        <v>Equipment</v>
      </c>
      <c r="J516" s="5" t="s">
        <v>9</v>
      </c>
      <c r="K516" s="5" t="s">
        <v>7</v>
      </c>
      <c r="L516" s="5" t="s">
        <v>10</v>
      </c>
      <c r="M516" s="5" t="s">
        <v>5</v>
      </c>
      <c r="N516" s="6">
        <v>10</v>
      </c>
      <c r="O516" s="5" t="s">
        <v>11</v>
      </c>
      <c r="P516" s="5" t="s">
        <v>12</v>
      </c>
      <c r="Q516" s="5" t="s">
        <v>13</v>
      </c>
      <c r="R516" s="5" t="s">
        <v>133</v>
      </c>
      <c r="S516" s="8"/>
    </row>
    <row r="517" spans="1:19" x14ac:dyDescent="0.3">
      <c r="A517" s="9" t="e">
        <f>IF(C517="","",MAX($A$2:A516)+1)</f>
        <v>#REF!</v>
      </c>
      <c r="B517" s="10" t="s">
        <v>0</v>
      </c>
      <c r="C517" s="11">
        <v>46103</v>
      </c>
      <c r="D517" s="13" t="str">
        <f>_xlfn.XLOOKUP([1]!Table134526_79101120212223242526[[#This Row],[Name Surname]],[1]Manpower!$C$4:$C$1048576,[1]Manpower!$B$4:$B$1048576,"")</f>
        <v>Encogroup</v>
      </c>
      <c r="E517" s="13" t="s">
        <v>8</v>
      </c>
      <c r="F517" s="12">
        <f>_xlfn.XLOOKUP([1]!Table134526_79101120212223242526[[#This Row],[Name Surname]],[1]Manpower!C:C,[1]Manpower!D:D,)</f>
        <v>9138415</v>
      </c>
      <c r="G517" s="13" t="str">
        <f>_xlfn.XLOOKUP([1]!Table134526_79101120212223242526[[#This Row],[Name Surname]],[1]Manpower!$C$4:$C$1048576,[1]Manpower!$F$4:$F$1048576,"")</f>
        <v>HIAB Driver</v>
      </c>
      <c r="H517" s="13" t="str">
        <f>_xlfn.XLOOKUP([1]!Table134526_79101120212223242526[[#This Row],[Name Surname]],[1]Manpower!$C$4:$C$1048576,[1]Manpower!$H$4:$H$1048576,"")</f>
        <v>Manpower</v>
      </c>
      <c r="I517" s="13" t="str">
        <f>_xlfn.XLOOKUP([1]!Table134526_79101120212223242526[[#This Row],[Name Surname]],[1]Manpower!$C$4:$C$1048576,[1]Manpower!$H$4:$H$1048576,"")</f>
        <v>Manpower</v>
      </c>
      <c r="J517" s="13" t="s">
        <v>9</v>
      </c>
      <c r="K517" s="13" t="s">
        <v>7</v>
      </c>
      <c r="L517" s="13" t="s">
        <v>10</v>
      </c>
      <c r="M517" s="13" t="s">
        <v>5</v>
      </c>
      <c r="N517" s="14">
        <v>10</v>
      </c>
      <c r="O517" s="13" t="s">
        <v>11</v>
      </c>
      <c r="P517" s="13" t="s">
        <v>12</v>
      </c>
      <c r="Q517" s="13" t="s">
        <v>13</v>
      </c>
      <c r="R517" s="13" t="s">
        <v>133</v>
      </c>
      <c r="S517" s="15"/>
    </row>
    <row r="518" spans="1:19" x14ac:dyDescent="0.3">
      <c r="A518" s="1" t="e">
        <f>IF(C518="","",MAX($A$2:A517)+1)</f>
        <v>#REF!</v>
      </c>
      <c r="B518" s="10" t="s">
        <v>0</v>
      </c>
      <c r="C518" s="3">
        <v>46103</v>
      </c>
      <c r="D518" s="5" t="str">
        <f>_xlfn.XLOOKUP([1]!Table134526_79101120212223242526[[#This Row],[Name Surname]],[1]Manpower!$C$4:$C$1048576,[1]Manpower!$B$4:$B$1048576,"")</f>
        <v>GAF</v>
      </c>
      <c r="E518" s="5" t="s">
        <v>17</v>
      </c>
      <c r="F518" s="4">
        <f>_xlfn.XLOOKUP([1]!Table134526_79101120212223242526[[#This Row],[Name Surname]],[1]Manpower!C:C,[1]Manpower!D:D,)</f>
        <v>78785394</v>
      </c>
      <c r="G518" s="5" t="str">
        <f>_xlfn.XLOOKUP([1]!Table134526_79101120212223242526[[#This Row],[Name Surname]],[1]Manpower!$C$4:$C$1048576,[1]Manpower!$F$4:$F$1048576,"")</f>
        <v>Helper</v>
      </c>
      <c r="H518" s="5" t="str">
        <f>_xlfn.XLOOKUP([1]!Table134526_79101120212223242526[[#This Row],[Name Surname]],[1]Manpower!$C$4:$C$1048576,[1]Manpower!$H$4:$H$1048576,"")</f>
        <v>Sub Contactor</v>
      </c>
      <c r="I518" s="5" t="str">
        <f>_xlfn.XLOOKUP([1]!Table134526_79101120212223242526[[#This Row],[Name Surname]],[1]Manpower!$C$4:$C$1048576,[1]Manpower!$H$4:$H$1048576,"")</f>
        <v>Sub Contactor</v>
      </c>
      <c r="J518" s="5" t="s">
        <v>9</v>
      </c>
      <c r="K518" s="5" t="s">
        <v>7</v>
      </c>
      <c r="L518" s="5" t="s">
        <v>10</v>
      </c>
      <c r="M518" s="5" t="s">
        <v>5</v>
      </c>
      <c r="N518" s="6">
        <v>10</v>
      </c>
      <c r="O518" s="5" t="s">
        <v>6</v>
      </c>
      <c r="P518" s="5" t="s">
        <v>12</v>
      </c>
      <c r="Q518" s="5" t="s">
        <v>29</v>
      </c>
      <c r="R518" s="5" t="s">
        <v>133</v>
      </c>
      <c r="S518" s="8"/>
    </row>
    <row r="519" spans="1:19" x14ac:dyDescent="0.3">
      <c r="A519" s="9" t="e">
        <f>IF(C519="","",MAX($A$2:A518)+1)</f>
        <v>#REF!</v>
      </c>
      <c r="B519" s="10" t="s">
        <v>0</v>
      </c>
      <c r="C519" s="11">
        <v>46103</v>
      </c>
      <c r="D519" s="13" t="str">
        <f>_xlfn.XLOOKUP([1]!Table134526_79101120212223242526[[#This Row],[Name Surname]],[1]Manpower!$C$4:$C$1048576,[1]Manpower!$B$4:$B$1048576,"")</f>
        <v>Encogroup</v>
      </c>
      <c r="E519" s="13" t="s">
        <v>15</v>
      </c>
      <c r="F519" s="12">
        <f>_xlfn.XLOOKUP([1]!Table134526_79101120212223242526[[#This Row],[Name Surname]],[1]Manpower!C:C,[1]Manpower!D:D,)</f>
        <v>141359024</v>
      </c>
      <c r="G519" s="13" t="str">
        <f>_xlfn.XLOOKUP([1]!Table134526_79101120212223242526[[#This Row],[Name Surname]],[1]Manpower!$C$4:$C$1048576,[1]Manpower!$F$4:$F$1048576,"")</f>
        <v>Hydraulic Mechanic</v>
      </c>
      <c r="H519" s="13" t="str">
        <f>_xlfn.XLOOKUP([1]!Table134526_79101120212223242526[[#This Row],[Name Surname]],[1]Manpower!$C$4:$C$1048576,[1]Manpower!$H$4:$H$1048576,"")</f>
        <v>Manpower</v>
      </c>
      <c r="I519" s="13" t="str">
        <f>_xlfn.XLOOKUP([1]!Table134526_79101120212223242526[[#This Row],[Name Surname]],[1]Manpower!$C$4:$C$1048576,[1]Manpower!$H$4:$H$1048576,"")</f>
        <v>Manpower</v>
      </c>
      <c r="J519" s="13" t="s">
        <v>9</v>
      </c>
      <c r="K519" s="13" t="s">
        <v>7</v>
      </c>
      <c r="L519" s="13" t="s">
        <v>10</v>
      </c>
      <c r="M519" s="13" t="s">
        <v>5</v>
      </c>
      <c r="N519" s="14">
        <v>10</v>
      </c>
      <c r="O519" s="13" t="s">
        <v>6</v>
      </c>
      <c r="P519" s="13" t="s">
        <v>12</v>
      </c>
      <c r="Q519" s="13" t="s">
        <v>29</v>
      </c>
      <c r="R519" s="13" t="s">
        <v>133</v>
      </c>
      <c r="S519" s="15"/>
    </row>
    <row r="520" spans="1:19" x14ac:dyDescent="0.3">
      <c r="A520" s="1" t="e">
        <f>IF(C520="","",MAX($A$2:A519)+1)</f>
        <v>#REF!</v>
      </c>
      <c r="B520" s="10" t="s">
        <v>0</v>
      </c>
      <c r="C520" s="3">
        <v>46103</v>
      </c>
      <c r="D520" s="3" t="str">
        <f>_xlfn.XLOOKUP([1]!Table134526_79101120212223242526[[#This Row],[Name Surname]],[1]Manpower!$C$4:$C$1048576,[1]Manpower!$B$4:$B$1048576,"")</f>
        <v>Encogroup</v>
      </c>
      <c r="E520" s="3" t="s">
        <v>20</v>
      </c>
      <c r="F520" s="4">
        <f>_xlfn.XLOOKUP([1]!Table134526_79101120212223242526[[#This Row],[Name Surname]],[1]Manpower!C:C,[1]Manpower!D:D,)</f>
        <v>140844759</v>
      </c>
      <c r="G520" s="3" t="str">
        <f>_xlfn.XLOOKUP([1]!Table134526_79101120212223242526[[#This Row],[Name Surname]],[1]Manpower!$C$4:$C$1048576,[1]Manpower!$F$4:$F$1048576,"")</f>
        <v>Welder</v>
      </c>
      <c r="H520" s="3" t="str">
        <f>_xlfn.XLOOKUP([1]!Table134526_79101120212223242526[[#This Row],[Name Surname]],[1]Manpower!$C$4:$C$1048576,[1]Manpower!$H$4:$H$1048576,"")</f>
        <v>Manpower</v>
      </c>
      <c r="I520" s="3" t="str">
        <f>_xlfn.XLOOKUP([1]!Table134526_79101120212223242526[[#This Row],[Name Surname]],[1]Manpower!$C$4:$C$1048576,[1]Manpower!$H$4:$H$1048576,"")</f>
        <v>Manpower</v>
      </c>
      <c r="J520" s="5" t="s">
        <v>9</v>
      </c>
      <c r="K520" s="5" t="s">
        <v>7</v>
      </c>
      <c r="L520" s="5" t="s">
        <v>10</v>
      </c>
      <c r="M520" s="5" t="s">
        <v>5</v>
      </c>
      <c r="N520" s="6">
        <v>10</v>
      </c>
      <c r="O520" s="5" t="s">
        <v>6</v>
      </c>
      <c r="P520" s="5" t="s">
        <v>12</v>
      </c>
      <c r="Q520" s="5" t="s">
        <v>12</v>
      </c>
      <c r="R520" s="5" t="s">
        <v>133</v>
      </c>
      <c r="S520" s="8"/>
    </row>
    <row r="521" spans="1:19" x14ac:dyDescent="0.3">
      <c r="A521" s="9" t="e">
        <f>IF(C521="","",MAX($A$2:A514)+1)</f>
        <v>#REF!</v>
      </c>
      <c r="B521" s="16" t="s">
        <v>21</v>
      </c>
      <c r="C521" s="11">
        <v>46103</v>
      </c>
      <c r="D521" s="13" t="str">
        <f>_xlfn.XLOOKUP([1]!Table134526_79101120212223242526[[#This Row],[Name Surname]],[1]Manpower!$C$4:$C$1048576,[1]Manpower!$B$4:$B$1048576,"")</f>
        <v>Encogroup</v>
      </c>
      <c r="E521" s="13" t="s">
        <v>22</v>
      </c>
      <c r="F521" s="12">
        <f>_xlfn.XLOOKUP([1]!Table134526_79101120212223242526[[#This Row],[Name Surname]],[1]Manpower!C:C,[1]Manpower!D:D,)</f>
        <v>140848828</v>
      </c>
      <c r="G521" s="13" t="str">
        <f>_xlfn.XLOOKUP([1]!Table134526_79101120212223242526[[#This Row],[Name Surname]],[1]Manpower!$C$4:$C$1048576,[1]Manpower!$F$4:$F$1048576,"")</f>
        <v>Pipe Fitter</v>
      </c>
      <c r="H521" s="13" t="str">
        <f>_xlfn.XLOOKUP([1]!Table134526_79101120212223242526[[#This Row],[Name Surname]],[1]Manpower!$C$4:$C$1048576,[1]Manpower!$H$4:$H$1048576,"")</f>
        <v>Manpower</v>
      </c>
      <c r="I521" s="13" t="str">
        <f>_xlfn.XLOOKUP([1]!Table134526_79101120212223242526[[#This Row],[Name Surname]],[1]Manpower!$C$4:$C$1048576,[1]Manpower!$H$4:$H$1048576,"")</f>
        <v>Manpower</v>
      </c>
      <c r="J521" s="13" t="s">
        <v>23</v>
      </c>
      <c r="K521" s="13" t="s">
        <v>81</v>
      </c>
      <c r="L521" s="13" t="s">
        <v>25</v>
      </c>
      <c r="M521" s="13" t="s">
        <v>5</v>
      </c>
      <c r="N521" s="14">
        <v>10</v>
      </c>
      <c r="O521" s="13" t="s">
        <v>6</v>
      </c>
      <c r="P521" s="13" t="s">
        <v>12</v>
      </c>
      <c r="Q521" s="13" t="s">
        <v>26</v>
      </c>
      <c r="R521" s="13" t="s">
        <v>134</v>
      </c>
      <c r="S521" s="15"/>
    </row>
    <row r="522" spans="1:19" x14ac:dyDescent="0.3">
      <c r="A522" s="1" t="e">
        <f>IF(C522="","",MAX($A$2:A521)+1)</f>
        <v>#REF!</v>
      </c>
      <c r="B522" s="16" t="s">
        <v>21</v>
      </c>
      <c r="C522" s="3">
        <v>46103</v>
      </c>
      <c r="D522" s="5" t="str">
        <f>_xlfn.XLOOKUP([1]!Table134526_79101120212223242526[[#This Row],[Name Surname]],[1]Manpower!$C$4:$C$1048576,[1]Manpower!$B$4:$B$1048576,"")</f>
        <v>Encogroup</v>
      </c>
      <c r="E522" s="5" t="s">
        <v>28</v>
      </c>
      <c r="F522" s="4">
        <f>_xlfn.XLOOKUP([1]!Table134526_79101120212223242526[[#This Row],[Name Surname]],[1]Manpower!C:C,[1]Manpower!D:D,)</f>
        <v>140696961</v>
      </c>
      <c r="G522" s="5" t="str">
        <f>_xlfn.XLOOKUP([1]!Table134526_79101120212223242526[[#This Row],[Name Surname]],[1]Manpower!$C$4:$C$1048576,[1]Manpower!$F$4:$F$1048576,"")</f>
        <v>Assistant/Helper</v>
      </c>
      <c r="H522" s="5" t="str">
        <f>_xlfn.XLOOKUP([1]!Table134526_79101120212223242526[[#This Row],[Name Surname]],[1]Manpower!$C$4:$C$1048576,[1]Manpower!$H$4:$H$1048576,"")</f>
        <v>Manpower</v>
      </c>
      <c r="I522" s="5" t="str">
        <f>_xlfn.XLOOKUP([1]!Table134526_79101120212223242526[[#This Row],[Name Surname]],[1]Manpower!$C$4:$C$1048576,[1]Manpower!$H$4:$H$1048576,"")</f>
        <v>Manpower</v>
      </c>
      <c r="J522" s="5" t="s">
        <v>23</v>
      </c>
      <c r="K522" s="5" t="s">
        <v>81</v>
      </c>
      <c r="L522" s="5" t="s">
        <v>25</v>
      </c>
      <c r="M522" s="5" t="s">
        <v>5</v>
      </c>
      <c r="N522" s="6">
        <v>10</v>
      </c>
      <c r="O522" s="5" t="s">
        <v>6</v>
      </c>
      <c r="P522" s="5" t="s">
        <v>12</v>
      </c>
      <c r="Q522" s="5" t="s">
        <v>26</v>
      </c>
      <c r="R522" s="5" t="s">
        <v>135</v>
      </c>
      <c r="S522" s="8"/>
    </row>
    <row r="523" spans="1:19" x14ac:dyDescent="0.3">
      <c r="A523" s="9" t="e">
        <f>IF(C523="","",MAX($A$2:A522)+1)</f>
        <v>#REF!</v>
      </c>
      <c r="B523" s="16" t="s">
        <v>21</v>
      </c>
      <c r="C523" s="11">
        <v>46103</v>
      </c>
      <c r="D523" s="13" t="str">
        <f>_xlfn.XLOOKUP([1]!Table134526_79101120212223242526[[#This Row],[Name Surname]],[1]Manpower!$C$4:$C$1048576,[1]Manpower!$B$4:$B$1048576,"")</f>
        <v>Encogroup</v>
      </c>
      <c r="E523" s="13" t="s">
        <v>111</v>
      </c>
      <c r="F523" s="12">
        <f>_xlfn.XLOOKUP([1]!Table134526_79101120212223242526[[#This Row],[Name Surname]],[1]Manpower!C:C,[1]Manpower!D:D,)</f>
        <v>140623599</v>
      </c>
      <c r="G523" s="13" t="str">
        <f>_xlfn.XLOOKUP([1]!Table134526_79101120212223242526[[#This Row],[Name Surname]],[1]Manpower!$C$4:$C$1048576,[1]Manpower!$F$4:$F$1048576,"")</f>
        <v>Mechanical Supervisor</v>
      </c>
      <c r="H523" s="13" t="str">
        <f>_xlfn.XLOOKUP([1]!Table134526_79101120212223242526[[#This Row],[Name Surname]],[1]Manpower!$C$4:$C$1048576,[1]Manpower!$H$4:$H$1048576,"")</f>
        <v>Manpower</v>
      </c>
      <c r="I523" s="13" t="str">
        <f>_xlfn.XLOOKUP([1]!Table134526_79101120212223242526[[#This Row],[Name Surname]],[1]Manpower!$C$4:$C$1048576,[1]Manpower!$H$4:$H$1048576,"")</f>
        <v>Manpower</v>
      </c>
      <c r="J523" s="13" t="s">
        <v>23</v>
      </c>
      <c r="K523" s="13" t="s">
        <v>81</v>
      </c>
      <c r="L523" s="13" t="s">
        <v>25</v>
      </c>
      <c r="M523" s="13" t="s">
        <v>18</v>
      </c>
      <c r="N523" s="14">
        <v>10</v>
      </c>
      <c r="O523" s="13"/>
      <c r="P523" s="13"/>
      <c r="Q523" s="13"/>
      <c r="R523" s="13" t="s">
        <v>19</v>
      </c>
      <c r="S523" s="15"/>
    </row>
    <row r="524" spans="1:19" x14ac:dyDescent="0.3">
      <c r="A524" s="1" t="e">
        <f>IF(C524="","",MAX($A$2:A523)+1)</f>
        <v>#REF!</v>
      </c>
      <c r="B524" s="16" t="s">
        <v>21</v>
      </c>
      <c r="C524" s="3">
        <v>46103</v>
      </c>
      <c r="D524" s="5" t="str">
        <f>_xlfn.XLOOKUP([1]!Table134526_79101120212223242526[[#This Row],[Name Surname]],[1]Manpower!$C$4:$C$1048576,[1]Manpower!$B$4:$B$1048576,"")</f>
        <v>Encogroup</v>
      </c>
      <c r="E524" s="5" t="s">
        <v>31</v>
      </c>
      <c r="F524" s="4">
        <f>_xlfn.XLOOKUP([1]!Table134526_79101120212223242526[[#This Row],[Name Surname]],[1]Manpower!C:C,[1]Manpower!D:D,)</f>
        <v>140696975</v>
      </c>
      <c r="G524" s="5" t="str">
        <f>_xlfn.XLOOKUP([1]!Table134526_79101120212223242526[[#This Row],[Name Surname]],[1]Manpower!$C$4:$C$1048576,[1]Manpower!$F$4:$F$1048576,"")</f>
        <v>Assistant/Helper</v>
      </c>
      <c r="H524" s="5" t="str">
        <f>_xlfn.XLOOKUP([1]!Table134526_79101120212223242526[[#This Row],[Name Surname]],[1]Manpower!$C$4:$C$1048576,[1]Manpower!$H$4:$H$1048576,"")</f>
        <v>Manpower</v>
      </c>
      <c r="I524" s="5" t="str">
        <f>_xlfn.XLOOKUP([1]!Table134526_79101120212223242526[[#This Row],[Name Surname]],[1]Manpower!$C$4:$C$1048576,[1]Manpower!$H$4:$H$1048576,"")</f>
        <v>Manpower</v>
      </c>
      <c r="J524" s="5" t="s">
        <v>23</v>
      </c>
      <c r="K524" s="5" t="s">
        <v>81</v>
      </c>
      <c r="L524" s="5" t="s">
        <v>25</v>
      </c>
      <c r="M524" s="5" t="s">
        <v>5</v>
      </c>
      <c r="N524" s="6">
        <v>10</v>
      </c>
      <c r="O524" s="5" t="s">
        <v>11</v>
      </c>
      <c r="P524" s="5" t="s">
        <v>12</v>
      </c>
      <c r="Q524" s="5" t="s">
        <v>13</v>
      </c>
      <c r="R524" s="5"/>
      <c r="S524" s="8"/>
    </row>
    <row r="525" spans="1:19" x14ac:dyDescent="0.3">
      <c r="A525" s="9" t="e">
        <f>IF(C525="","",MAX($A$2:A524)+1)</f>
        <v>#REF!</v>
      </c>
      <c r="B525" s="16" t="s">
        <v>21</v>
      </c>
      <c r="C525" s="11">
        <v>46103</v>
      </c>
      <c r="D525" s="13" t="str">
        <f>_xlfn.XLOOKUP([1]!Table134526_79101120212223242526[[#This Row],[Name Surname]],[1]Manpower!$C$4:$C$1048576,[1]Manpower!$B$4:$B$1048576,"")</f>
        <v>Encogroup</v>
      </c>
      <c r="E525" s="13" t="s">
        <v>41</v>
      </c>
      <c r="F525" s="12">
        <f>_xlfn.XLOOKUP([1]!Table134526_79101120212223242526[[#This Row],[Name Surname]],[1]Manpower!C:C,[1]Manpower!D:D,)</f>
        <v>121937785</v>
      </c>
      <c r="G525" s="13" t="str">
        <f>_xlfn.XLOOKUP([1]!Table134526_79101120212223242526[[#This Row],[Name Surname]],[1]Manpower!$C$4:$C$1048576,[1]Manpower!$F$4:$F$1048576,"")</f>
        <v>Scaffolding Inspector</v>
      </c>
      <c r="H525" s="13" t="str">
        <f>_xlfn.XLOOKUP([1]!Table134526_79101120212223242526[[#This Row],[Name Surname]],[1]Manpower!$C$4:$C$1048576,[1]Manpower!$H$4:$H$1048576,"")</f>
        <v>Manpower</v>
      </c>
      <c r="I525" s="13" t="str">
        <f>_xlfn.XLOOKUP([1]!Table134526_79101120212223242526[[#This Row],[Name Surname]],[1]Manpower!$C$4:$C$1048576,[1]Manpower!$H$4:$H$1048576,"")</f>
        <v>Manpower</v>
      </c>
      <c r="J525" s="13" t="s">
        <v>23</v>
      </c>
      <c r="K525" s="13" t="s">
        <v>7</v>
      </c>
      <c r="L525" s="13" t="s">
        <v>25</v>
      </c>
      <c r="M525" s="13" t="s">
        <v>18</v>
      </c>
      <c r="N525" s="14">
        <v>10</v>
      </c>
      <c r="O525" s="13"/>
      <c r="P525" s="13"/>
      <c r="Q525" s="13"/>
      <c r="R525" s="13" t="s">
        <v>126</v>
      </c>
      <c r="S525" s="15"/>
    </row>
    <row r="526" spans="1:19" x14ac:dyDescent="0.3">
      <c r="A526" s="1" t="e">
        <f>IF(C526="","",MAX($A$2:A525)+1)</f>
        <v>#REF!</v>
      </c>
      <c r="B526" s="16" t="s">
        <v>21</v>
      </c>
      <c r="C526" s="3">
        <v>46103</v>
      </c>
      <c r="D526" s="5" t="str">
        <f>_xlfn.XLOOKUP([1]!Table134526_79101120212223242526[[#This Row],[Name Surname]],[1]Manpower!$C$4:$C$1048576,[1]Manpower!$B$4:$B$1048576,"")</f>
        <v xml:space="preserve">AL Omar International </v>
      </c>
      <c r="E526" s="5" t="s">
        <v>32</v>
      </c>
      <c r="F526" s="4">
        <f>_xlfn.XLOOKUP([1]!Table134526_79101120212223242526[[#This Row],[Name Surname]],[1]Manpower!C:C,[1]Manpower!D:D,)</f>
        <v>85812175</v>
      </c>
      <c r="G526" s="5" t="str">
        <f>_xlfn.XLOOKUP([1]!Table134526_79101120212223242526[[#This Row],[Name Surname]],[1]Manpower!$C$4:$C$1048576,[1]Manpower!$F$4:$F$1048576,"")</f>
        <v>Scaffolding Supervisor</v>
      </c>
      <c r="H526" s="5" t="str">
        <f>_xlfn.XLOOKUP([1]!Table134526_79101120212223242526[[#This Row],[Name Surname]],[1]Manpower!$C$4:$C$1048576,[1]Manpower!$H$4:$H$1048576,"")</f>
        <v>Sub Contactor</v>
      </c>
      <c r="I526" s="5" t="str">
        <f>_xlfn.XLOOKUP([1]!Table134526_79101120212223242526[[#This Row],[Name Surname]],[1]Manpower!$C$4:$C$1048576,[1]Manpower!$H$4:$H$1048576,"")</f>
        <v>Sub Contactor</v>
      </c>
      <c r="J526" s="5" t="s">
        <v>23</v>
      </c>
      <c r="K526" s="5" t="s">
        <v>81</v>
      </c>
      <c r="L526" s="5" t="s">
        <v>25</v>
      </c>
      <c r="M526" s="5" t="s">
        <v>5</v>
      </c>
      <c r="N526" s="6">
        <v>10</v>
      </c>
      <c r="O526" s="5" t="s">
        <v>33</v>
      </c>
      <c r="P526" s="5" t="s">
        <v>33</v>
      </c>
      <c r="Q526" s="5" t="s">
        <v>33</v>
      </c>
      <c r="R526" s="5" t="s">
        <v>7</v>
      </c>
      <c r="S526" s="8"/>
    </row>
    <row r="527" spans="1:19" x14ac:dyDescent="0.3">
      <c r="A527" s="9" t="e">
        <f>IF(C527="","",MAX($A$2:A525)+1)</f>
        <v>#REF!</v>
      </c>
      <c r="B527" s="16" t="s">
        <v>21</v>
      </c>
      <c r="C527" s="11">
        <v>46103</v>
      </c>
      <c r="D527" s="13" t="str">
        <f>_xlfn.XLOOKUP([1]!Table134526_79101120212223242526[[#This Row],[Name Surname]],[1]Manpower!$C$4:$C$1048576,[1]Manpower!$B$4:$B$1048576,"")</f>
        <v>AL Omar International TRAD AND CONT</v>
      </c>
      <c r="E527" s="13" t="s">
        <v>34</v>
      </c>
      <c r="F527" s="12">
        <f>_xlfn.XLOOKUP([1]!Table134526_79101120212223242526[[#This Row],[Name Surname]],[1]Manpower!C:C,[1]Manpower!D:D,)</f>
        <v>95335424</v>
      </c>
      <c r="G527" s="13" t="str">
        <f>_xlfn.XLOOKUP([1]!Table134526_79101120212223242526[[#This Row],[Name Surname]],[1]Manpower!$C$4:$C$1048576,[1]Manpower!$F$4:$F$1048576,"")</f>
        <v>Scaffolder</v>
      </c>
      <c r="H527" s="13" t="str">
        <f>_xlfn.XLOOKUP([1]!Table134526_79101120212223242526[[#This Row],[Name Surname]],[1]Manpower!$C$4:$C$1048576,[1]Manpower!$H$4:$H$1048576,"")</f>
        <v>Sub Contactor</v>
      </c>
      <c r="I527" s="13" t="str">
        <f>_xlfn.XLOOKUP([1]!Table134526_79101120212223242526[[#This Row],[Name Surname]],[1]Manpower!$C$4:$C$1048576,[1]Manpower!$H$4:$H$1048576,"")</f>
        <v>Sub Contactor</v>
      </c>
      <c r="J527" s="13" t="s">
        <v>23</v>
      </c>
      <c r="K527" s="13" t="s">
        <v>81</v>
      </c>
      <c r="L527" s="13" t="s">
        <v>25</v>
      </c>
      <c r="M527" s="13" t="s">
        <v>5</v>
      </c>
      <c r="N527" s="14">
        <v>10</v>
      </c>
      <c r="O527" s="13" t="s">
        <v>35</v>
      </c>
      <c r="P527" s="13" t="s">
        <v>35</v>
      </c>
      <c r="Q527" s="13" t="s">
        <v>35</v>
      </c>
      <c r="R527" s="13" t="s">
        <v>7</v>
      </c>
      <c r="S527" s="15"/>
    </row>
    <row r="528" spans="1:19" x14ac:dyDescent="0.3">
      <c r="A528" s="1" t="e">
        <f>IF(C528="","",MAX($A$2:A527)+1)</f>
        <v>#REF!</v>
      </c>
      <c r="B528" s="16" t="s">
        <v>21</v>
      </c>
      <c r="C528" s="3">
        <v>46103</v>
      </c>
      <c r="D528" s="5" t="str">
        <f>_xlfn.XLOOKUP([1]!Table134526_79101120212223242526[[#This Row],[Name Surname]],[1]Manpower!$C$4:$C$1048576,[1]Manpower!$B$4:$B$1048576,"")</f>
        <v>AL Omar International TRAD AND CONT</v>
      </c>
      <c r="E528" s="5" t="s">
        <v>120</v>
      </c>
      <c r="F528" s="4">
        <f>_xlfn.XLOOKUP([1]!Table134526_79101120212223242526[[#This Row],[Name Surname]],[1]Manpower!C:C,[1]Manpower!D:D,)</f>
        <v>96409155</v>
      </c>
      <c r="G528" s="5" t="str">
        <f>_xlfn.XLOOKUP([1]!Table134526_79101120212223242526[[#This Row],[Name Surname]],[1]Manpower!$C$4:$C$1048576,[1]Manpower!$F$4:$F$1048576,"")</f>
        <v>Scaffolder</v>
      </c>
      <c r="H528" s="5" t="str">
        <f>_xlfn.XLOOKUP([1]!Table134526_79101120212223242526[[#This Row],[Name Surname]],[1]Manpower!$C$4:$C$1048576,[1]Manpower!$H$4:$H$1048576,"")</f>
        <v>Sub Contactor</v>
      </c>
      <c r="I528" s="5" t="str">
        <f>_xlfn.XLOOKUP([1]!Table134526_79101120212223242526[[#This Row],[Name Surname]],[1]Manpower!$C$4:$C$1048576,[1]Manpower!$H$4:$H$1048576,"")</f>
        <v>Sub Contactor</v>
      </c>
      <c r="J528" s="5" t="s">
        <v>23</v>
      </c>
      <c r="K528" s="5" t="s">
        <v>81</v>
      </c>
      <c r="L528" s="5" t="s">
        <v>25</v>
      </c>
      <c r="M528" s="5" t="s">
        <v>5</v>
      </c>
      <c r="N528" s="6">
        <v>10</v>
      </c>
      <c r="O528" s="5" t="s">
        <v>35</v>
      </c>
      <c r="P528" s="5" t="s">
        <v>35</v>
      </c>
      <c r="Q528" s="5" t="s">
        <v>35</v>
      </c>
      <c r="R528" s="5" t="s">
        <v>7</v>
      </c>
      <c r="S528" s="8"/>
    </row>
    <row r="529" spans="1:19" x14ac:dyDescent="0.3">
      <c r="A529" s="9" t="e">
        <f>IF(C529="","",MAX($A$2:A528)+1)</f>
        <v>#REF!</v>
      </c>
      <c r="B529" s="17" t="s">
        <v>36</v>
      </c>
      <c r="C529" s="11">
        <v>46103</v>
      </c>
      <c r="D529" s="13" t="str">
        <f>_xlfn.XLOOKUP([1]!Table134526_79101120212223242526[[#This Row],[Name Surname]],[1]Manpower!$C$4:$C$1048576,[1]Manpower!$B$4:$B$1048576,"")</f>
        <v>AL Omar International TRAD AND CONT</v>
      </c>
      <c r="E529" s="13" t="s">
        <v>43</v>
      </c>
      <c r="F529" s="12">
        <f>_xlfn.XLOOKUP([1]!Table134526_79101120212223242526[[#This Row],[Name Surname]],[1]Manpower!C:C,[1]Manpower!D:D,)</f>
        <v>105813698</v>
      </c>
      <c r="G529" s="13" t="str">
        <f>_xlfn.XLOOKUP([1]!Table134526_79101120212223242526[[#This Row],[Name Surname]],[1]Manpower!$C$4:$C$1048576,[1]Manpower!$F$4:$F$1048576,"")</f>
        <v>Scaffolding Inspector</v>
      </c>
      <c r="H529" s="13" t="str">
        <f>_xlfn.XLOOKUP([1]!Table134526_79101120212223242526[[#This Row],[Name Surname]],[1]Manpower!$C$4:$C$1048576,[1]Manpower!$H$4:$H$1048576,"")</f>
        <v>Sub Contactor</v>
      </c>
      <c r="I529" s="13" t="str">
        <f>_xlfn.XLOOKUP([1]!Table134526_79101120212223242526[[#This Row],[Name Surname]],[1]Manpower!$C$4:$C$1048576,[1]Manpower!$H$4:$H$1048576,"")</f>
        <v>Sub Contactor</v>
      </c>
      <c r="J529" s="13" t="s">
        <v>38</v>
      </c>
      <c r="K529" s="13" t="s">
        <v>7</v>
      </c>
      <c r="L529" s="13" t="s">
        <v>39</v>
      </c>
      <c r="M529" s="13" t="s">
        <v>5</v>
      </c>
      <c r="N529" s="14">
        <v>10</v>
      </c>
      <c r="O529" s="13" t="s">
        <v>11</v>
      </c>
      <c r="P529" s="13" t="s">
        <v>13</v>
      </c>
      <c r="Q529" s="13" t="s">
        <v>13</v>
      </c>
      <c r="R529" s="13" t="s">
        <v>128</v>
      </c>
      <c r="S529" s="15"/>
    </row>
    <row r="530" spans="1:19" x14ac:dyDescent="0.3">
      <c r="A530" s="1" t="e">
        <f>IF(C530="","",MAX($A$2:A529)+1)</f>
        <v>#REF!</v>
      </c>
      <c r="B530" s="17" t="s">
        <v>36</v>
      </c>
      <c r="C530" s="3">
        <v>46103</v>
      </c>
      <c r="D530" s="5" t="str">
        <f>_xlfn.XLOOKUP([1]!Table134526_79101120212223242526[[#This Row],[Name Surname]],[1]Manpower!$C$4:$C$1048576,[1]Manpower!$B$4:$B$1048576,"")</f>
        <v>AL Saif &amp; Al QALLM ENT LLC</v>
      </c>
      <c r="E530" s="5" t="s">
        <v>1</v>
      </c>
      <c r="F530" s="4">
        <f>_xlfn.XLOOKUP([1]!Table134526_79101120212223242526[[#This Row],[Name Surname]],[1]Manpower!C:C,[1]Manpower!D:D,)</f>
        <v>135340657</v>
      </c>
      <c r="G530" s="5" t="str">
        <f>_xlfn.XLOOKUP([1]!Table134526_79101120212223242526[[#This Row],[Name Surname]],[1]Manpower!$C$4:$C$1048576,[1]Manpower!$F$4:$F$1048576,"")</f>
        <v>Forklift Operator</v>
      </c>
      <c r="H530" s="5" t="str">
        <f>_xlfn.XLOOKUP([1]!Table134526_79101120212223242526[[#This Row],[Name Surname]],[1]Manpower!$C$4:$C$1048576,[1]Manpower!$H$4:$H$1048576,"")</f>
        <v>Sub Contactor</v>
      </c>
      <c r="I530" s="5" t="str">
        <f>_xlfn.XLOOKUP([1]!Table134526_79101120212223242526[[#This Row],[Name Surname]],[1]Manpower!$C$4:$C$1048576,[1]Manpower!$H$4:$H$1048576,"")</f>
        <v>Sub Contactor</v>
      </c>
      <c r="J530" s="5" t="s">
        <v>38</v>
      </c>
      <c r="K530" s="5" t="s">
        <v>7</v>
      </c>
      <c r="L530" s="5" t="s">
        <v>39</v>
      </c>
      <c r="M530" s="5" t="s">
        <v>5</v>
      </c>
      <c r="N530" s="6">
        <v>10</v>
      </c>
      <c r="O530" s="5" t="s">
        <v>11</v>
      </c>
      <c r="P530" s="5" t="s">
        <v>13</v>
      </c>
      <c r="Q530" s="5" t="s">
        <v>13</v>
      </c>
      <c r="R530" s="5" t="s">
        <v>136</v>
      </c>
      <c r="S530" s="8"/>
    </row>
    <row r="531" spans="1:19" x14ac:dyDescent="0.3">
      <c r="A531" s="9" t="e">
        <f>IF(C531="","",MAX($A$2:A530)+1)</f>
        <v>#REF!</v>
      </c>
      <c r="B531" s="17" t="s">
        <v>36</v>
      </c>
      <c r="C531" s="11">
        <v>46103</v>
      </c>
      <c r="D531" s="13" t="str">
        <f>_xlfn.XLOOKUP([1]!Table134526_79101120212223242526[[#This Row],[Name Surname]],[1]Manpower!$C$4:$C$1048576,[1]Manpower!$B$4:$B$1048576,"")</f>
        <v>Encogroup</v>
      </c>
      <c r="E531" s="13" t="s">
        <v>37</v>
      </c>
      <c r="F531" s="12">
        <f>_xlfn.XLOOKUP([1]!Table134526_79101120212223242526[[#This Row],[Name Surname]],[1]Manpower!C:C,[1]Manpower!D:D,)</f>
        <v>140844586</v>
      </c>
      <c r="G531" s="13" t="str">
        <f>_xlfn.XLOOKUP([1]!Table134526_79101120212223242526[[#This Row],[Name Surname]],[1]Manpower!$C$4:$C$1048576,[1]Manpower!$F$4:$F$1048576,"")</f>
        <v>Assistant/Helper</v>
      </c>
      <c r="H531" s="13" t="str">
        <f>_xlfn.XLOOKUP([1]!Table134526_79101120212223242526[[#This Row],[Name Surname]],[1]Manpower!$C$4:$C$1048576,[1]Manpower!$H$4:$H$1048576,"")</f>
        <v>Manpower</v>
      </c>
      <c r="I531" s="13" t="str">
        <f>_xlfn.XLOOKUP([1]!Table134526_79101120212223242526[[#This Row],[Name Surname]],[1]Manpower!$C$4:$C$1048576,[1]Manpower!$H$4:$H$1048576,"")</f>
        <v>Manpower</v>
      </c>
      <c r="J531" s="13" t="s">
        <v>38</v>
      </c>
      <c r="K531" s="13" t="s">
        <v>7</v>
      </c>
      <c r="L531" s="13" t="s">
        <v>39</v>
      </c>
      <c r="M531" s="13" t="s">
        <v>5</v>
      </c>
      <c r="N531" s="14">
        <v>10</v>
      </c>
      <c r="O531" s="13" t="s">
        <v>33</v>
      </c>
      <c r="P531" s="13" t="s">
        <v>33</v>
      </c>
      <c r="Q531" s="13" t="s">
        <v>33</v>
      </c>
      <c r="R531" s="13" t="s">
        <v>7</v>
      </c>
      <c r="S531" s="15"/>
    </row>
    <row r="532" spans="1:19" x14ac:dyDescent="0.3">
      <c r="A532" s="1" t="e">
        <f>IF(C532="","",MAX($A$2:A531)+1)</f>
        <v>#REF!</v>
      </c>
      <c r="B532" s="17" t="s">
        <v>36</v>
      </c>
      <c r="C532" s="3">
        <v>46103</v>
      </c>
      <c r="D532" s="5" t="str">
        <f>_xlfn.XLOOKUP([1]!Table134526_79101120212223242526[[#This Row],[Name Surname]],[1]Manpower!$C$4:$C$1048576,[1]Manpower!$B$4:$B$1048576,"")</f>
        <v>AL Omar International TRAD AND CONT</v>
      </c>
      <c r="E532" s="5" t="s">
        <v>40</v>
      </c>
      <c r="F532" s="4">
        <f>_xlfn.XLOOKUP([1]!Table134526_79101120212223242526[[#This Row],[Name Surname]],[1]Manpower!C:C,[1]Manpower!D:D,)</f>
        <v>106093463</v>
      </c>
      <c r="G532" s="5" t="str">
        <f>_xlfn.XLOOKUP([1]!Table134526_79101120212223242526[[#This Row],[Name Surname]],[1]Manpower!$C$4:$C$1048576,[1]Manpower!$F$4:$F$1048576,"")</f>
        <v>RIgger</v>
      </c>
      <c r="H532" s="5" t="str">
        <f>_xlfn.XLOOKUP([1]!Table134526_79101120212223242526[[#This Row],[Name Surname]],[1]Manpower!$C$4:$C$1048576,[1]Manpower!$H$4:$H$1048576,"")</f>
        <v>Sub Contactor</v>
      </c>
      <c r="I532" s="5" t="str">
        <f>_xlfn.XLOOKUP([1]!Table134526_79101120212223242526[[#This Row],[Name Surname]],[1]Manpower!$C$4:$C$1048576,[1]Manpower!$H$4:$H$1048576,"")</f>
        <v>Sub Contactor</v>
      </c>
      <c r="J532" s="5" t="s">
        <v>38</v>
      </c>
      <c r="K532" s="5" t="s">
        <v>7</v>
      </c>
      <c r="L532" s="5" t="s">
        <v>39</v>
      </c>
      <c r="M532" s="5" t="s">
        <v>5</v>
      </c>
      <c r="N532" s="6">
        <v>10</v>
      </c>
      <c r="O532" s="5" t="s">
        <v>33</v>
      </c>
      <c r="P532" s="5" t="s">
        <v>33</v>
      </c>
      <c r="Q532" s="5" t="s">
        <v>33</v>
      </c>
      <c r="R532" s="5" t="s">
        <v>7</v>
      </c>
      <c r="S532" s="8"/>
    </row>
    <row r="533" spans="1:19" x14ac:dyDescent="0.3">
      <c r="A533" s="9" t="e">
        <f>IF(C533="","",MAX($A$2:A531)+1)</f>
        <v>#REF!</v>
      </c>
      <c r="B533" s="17" t="s">
        <v>36</v>
      </c>
      <c r="C533" s="11">
        <v>46103</v>
      </c>
      <c r="D533" s="13" t="str">
        <f>_xlfn.XLOOKUP([1]!Table134526_79101120212223242526[[#This Row],[Name Surname]],[1]Manpower!$C$4:$C$1048576,[1]Manpower!$B$4:$B$1048576,"")</f>
        <v>Al Asrah Al Mumayaza Trad</v>
      </c>
      <c r="E533" s="13" t="s">
        <v>45</v>
      </c>
      <c r="F533" s="12" t="e">
        <f>_xlfn.XLOOKUP([1]!Table134526_79101120212223242526[[#This Row],[Name Surname]],[1]Manpower!C:C,[1]Manpower!D:D,)</f>
        <v>#N/A</v>
      </c>
      <c r="G533" s="13" t="str">
        <f>_xlfn.XLOOKUP([1]!Table134526_79101120212223242526[[#This Row],[Name Surname]],[1]Manpower!$C$4:$C$1048576,[1]Manpower!$F$4:$F$1048576,"")</f>
        <v>PICK-UP</v>
      </c>
      <c r="H533" s="13" t="str">
        <f>_xlfn.XLOOKUP([1]!Table134526_79101120212223242526[[#This Row],[Name Surname]],[1]Manpower!$C$4:$C$1048576,[1]Manpower!$H$4:$H$1048576,"")</f>
        <v>Equipment</v>
      </c>
      <c r="I533" s="13" t="str">
        <f>_xlfn.XLOOKUP([1]!Table134526_79101120212223242526[[#This Row],[Name Surname]],[1]Manpower!$C$4:$C$1048576,[1]Manpower!$H$4:$H$1048576,"")</f>
        <v>Equipment</v>
      </c>
      <c r="J533" s="13" t="s">
        <v>38</v>
      </c>
      <c r="K533" s="13" t="s">
        <v>7</v>
      </c>
      <c r="L533" s="13" t="s">
        <v>39</v>
      </c>
      <c r="M533" s="13" t="s">
        <v>5</v>
      </c>
      <c r="N533" s="14">
        <v>10</v>
      </c>
      <c r="O533" s="13" t="s">
        <v>11</v>
      </c>
      <c r="P533" s="13" t="s">
        <v>13</v>
      </c>
      <c r="Q533" s="13" t="s">
        <v>12</v>
      </c>
      <c r="R533" s="13" t="s">
        <v>79</v>
      </c>
      <c r="S533" s="15"/>
    </row>
    <row r="534" spans="1:19" x14ac:dyDescent="0.3">
      <c r="A534" s="1" t="e">
        <f>IF(C534="","",MAX($A$2:A533)+1)</f>
        <v>#REF!</v>
      </c>
      <c r="B534" s="17" t="s">
        <v>36</v>
      </c>
      <c r="C534" s="3">
        <v>46103</v>
      </c>
      <c r="D534" s="5" t="str">
        <f>_xlfn.XLOOKUP([1]!Table134526_79101120212223242526[[#This Row],[Name Surname]],[1]Manpower!$C$4:$C$1048576,[1]Manpower!$B$4:$B$1048576,"")</f>
        <v>Al Asrah Al Mumayaza Trad</v>
      </c>
      <c r="E534" s="5" t="s">
        <v>48</v>
      </c>
      <c r="F534" s="4" t="e">
        <f>_xlfn.XLOOKUP([1]!Table134526_79101120212223242526[[#This Row],[Name Surname]],[1]Manpower!C:C,[1]Manpower!D:D,)</f>
        <v>#N/A</v>
      </c>
      <c r="G534" s="5" t="str">
        <f>_xlfn.XLOOKUP([1]!Table134526_79101120212223242526[[#This Row],[Name Surname]],[1]Manpower!$C$4:$C$1048576,[1]Manpower!$F$4:$F$1048576,"")</f>
        <v>PICK-UP</v>
      </c>
      <c r="H534" s="5" t="str">
        <f>_xlfn.XLOOKUP([1]!Table134526_79101120212223242526[[#This Row],[Name Surname]],[1]Manpower!$C$4:$C$1048576,[1]Manpower!$H$4:$H$1048576,"")</f>
        <v>Equipment</v>
      </c>
      <c r="I534" s="5" t="str">
        <f>_xlfn.XLOOKUP([1]!Table134526_79101120212223242526[[#This Row],[Name Surname]],[1]Manpower!$C$4:$C$1048576,[1]Manpower!$H$4:$H$1048576,"")</f>
        <v>Equipment</v>
      </c>
      <c r="J534" s="5" t="s">
        <v>38</v>
      </c>
      <c r="K534" s="5" t="s">
        <v>7</v>
      </c>
      <c r="L534" s="5" t="s">
        <v>39</v>
      </c>
      <c r="M534" s="5" t="s">
        <v>5</v>
      </c>
      <c r="N534" s="6">
        <v>10</v>
      </c>
      <c r="O534" s="5" t="s">
        <v>33</v>
      </c>
      <c r="P534" s="5" t="s">
        <v>33</v>
      </c>
      <c r="Q534" s="5" t="s">
        <v>33</v>
      </c>
      <c r="R534" s="5" t="s">
        <v>7</v>
      </c>
      <c r="S534" s="8"/>
    </row>
    <row r="535" spans="1:19" x14ac:dyDescent="0.3">
      <c r="A535" s="9" t="e">
        <f>IF(C535="","",MAX($A$2:A534)+1)</f>
        <v>#REF!</v>
      </c>
      <c r="B535" s="17" t="s">
        <v>36</v>
      </c>
      <c r="C535" s="11">
        <v>46103</v>
      </c>
      <c r="D535" s="13" t="str">
        <f>_xlfn.XLOOKUP([1]!Table134526_79101120212223242526[[#This Row],[Name Surname]],[1]Manpower!$C$4:$C$1048576,[1]Manpower!$B$4:$B$1048576,"")</f>
        <v>Al Asrah Al Mumayaza Trad</v>
      </c>
      <c r="E535" s="13" t="s">
        <v>49</v>
      </c>
      <c r="F535" s="12" t="e">
        <f>_xlfn.XLOOKUP([1]!Table134526_79101120212223242526[[#This Row],[Name Surname]],[1]Manpower!C:C,[1]Manpower!D:D,)</f>
        <v>#N/A</v>
      </c>
      <c r="G535" s="13" t="str">
        <f>_xlfn.XLOOKUP([1]!Table134526_79101120212223242526[[#This Row],[Name Surname]],[1]Manpower!$C$4:$C$1048576,[1]Manpower!$F$4:$F$1048576,"")</f>
        <v>PICK-UP</v>
      </c>
      <c r="H535" s="13" t="str">
        <f>_xlfn.XLOOKUP([1]!Table134526_79101120212223242526[[#This Row],[Name Surname]],[1]Manpower!$C$4:$C$1048576,[1]Manpower!$H$4:$H$1048576,"")</f>
        <v>Equipment</v>
      </c>
      <c r="I535" s="13" t="str">
        <f>_xlfn.XLOOKUP([1]!Table134526_79101120212223242526[[#This Row],[Name Surname]],[1]Manpower!$C$4:$C$1048576,[1]Manpower!$H$4:$H$1048576,"")</f>
        <v>Equipment</v>
      </c>
      <c r="J535" s="13" t="s">
        <v>38</v>
      </c>
      <c r="K535" s="13" t="s">
        <v>7</v>
      </c>
      <c r="L535" s="13" t="s">
        <v>39</v>
      </c>
      <c r="M535" s="13" t="s">
        <v>5</v>
      </c>
      <c r="N535" s="14">
        <v>10</v>
      </c>
      <c r="O535" s="13" t="s">
        <v>33</v>
      </c>
      <c r="P535" s="13" t="s">
        <v>33</v>
      </c>
      <c r="Q535" s="13" t="s">
        <v>33</v>
      </c>
      <c r="R535" s="13" t="s">
        <v>7</v>
      </c>
      <c r="S535" s="15"/>
    </row>
    <row r="536" spans="1:19" x14ac:dyDescent="0.3">
      <c r="A536" s="1" t="e">
        <f>IF(C536="","",MAX($A$2:A535)+1)</f>
        <v>#REF!</v>
      </c>
      <c r="B536" s="17" t="s">
        <v>36</v>
      </c>
      <c r="C536" s="3">
        <v>46103</v>
      </c>
      <c r="D536" s="5" t="str">
        <f>_xlfn.XLOOKUP([1]!Table134526_79101120212223242526[[#This Row],[Name Surname]],[1]Manpower!$C$4:$C$1048576,[1]Manpower!$B$4:$B$1048576,"")</f>
        <v>Al Asrah Al Mumayaza Trad</v>
      </c>
      <c r="E536" s="5" t="s">
        <v>50</v>
      </c>
      <c r="F536" s="4" t="e">
        <f>_xlfn.XLOOKUP([1]!Table134526_79101120212223242526[[#This Row],[Name Surname]],[1]Manpower!C:C,[1]Manpower!D:D,)</f>
        <v>#N/A</v>
      </c>
      <c r="G536" s="5" t="str">
        <f>_xlfn.XLOOKUP([1]!Table134526_79101120212223242526[[#This Row],[Name Surname]],[1]Manpower!$C$4:$C$1048576,[1]Manpower!$F$4:$F$1048576,"")</f>
        <v>PICK-UP</v>
      </c>
      <c r="H536" s="5" t="str">
        <f>_xlfn.XLOOKUP([1]!Table134526_79101120212223242526[[#This Row],[Name Surname]],[1]Manpower!$C$4:$C$1048576,[1]Manpower!$H$4:$H$1048576,"")</f>
        <v>Equipment</v>
      </c>
      <c r="I536" s="5" t="str">
        <f>_xlfn.XLOOKUP([1]!Table134526_79101120212223242526[[#This Row],[Name Surname]],[1]Manpower!$C$4:$C$1048576,[1]Manpower!$H$4:$H$1048576,"")</f>
        <v>Equipment</v>
      </c>
      <c r="J536" s="5" t="s">
        <v>38</v>
      </c>
      <c r="K536" s="5" t="s">
        <v>7</v>
      </c>
      <c r="L536" s="5" t="s">
        <v>39</v>
      </c>
      <c r="M536" s="5" t="s">
        <v>5</v>
      </c>
      <c r="N536" s="6">
        <v>10</v>
      </c>
      <c r="O536" s="5"/>
      <c r="P536" s="5"/>
      <c r="Q536" s="5"/>
      <c r="R536" s="5" t="s">
        <v>7</v>
      </c>
      <c r="S536" s="8"/>
    </row>
    <row r="537" spans="1:19" x14ac:dyDescent="0.3">
      <c r="A537" s="9" t="e">
        <f>IF(C537="","",MAX($A$2:A536)+1)</f>
        <v>#REF!</v>
      </c>
      <c r="B537" s="17" t="s">
        <v>36</v>
      </c>
      <c r="C537" s="11">
        <v>46103</v>
      </c>
      <c r="D537" s="13" t="str">
        <f>_xlfn.XLOOKUP([1]!Table134526_79101120212223242526[[#This Row],[Name Surname]],[1]Manpower!$C$4:$C$1048576,[1]Manpower!$B$4:$B$1048576,"")</f>
        <v>Encogroup</v>
      </c>
      <c r="E537" s="11" t="s">
        <v>51</v>
      </c>
      <c r="F537" s="12">
        <f>_xlfn.XLOOKUP([1]!Table134526_79101120212223242526[[#This Row],[Name Surname]],[1]Manpower!C:C,[1]Manpower!D:D,)</f>
        <v>140805592</v>
      </c>
      <c r="G537" s="13" t="str">
        <f>_xlfn.XLOOKUP([1]!Table134526_79101120212223242526[[#This Row],[Name Surname]],[1]Manpower!$C$4:$C$1048576,[1]Manpower!$F$4:$F$1048576,"")</f>
        <v>Assistant/Helper</v>
      </c>
      <c r="H537" s="13" t="str">
        <f>_xlfn.XLOOKUP([1]!Table134526_79101120212223242526[[#This Row],[Name Surname]],[1]Manpower!$C$4:$C$1048576,[1]Manpower!$H$4:$H$1048576,"")</f>
        <v>Manpower</v>
      </c>
      <c r="I537" s="13" t="str">
        <f>_xlfn.XLOOKUP([1]!Table134526_79101120212223242526[[#This Row],[Name Surname]],[1]Manpower!$C$4:$C$1048576,[1]Manpower!$H$4:$H$1048576,"")</f>
        <v>Manpower</v>
      </c>
      <c r="J537" s="13" t="s">
        <v>38</v>
      </c>
      <c r="K537" s="13" t="s">
        <v>7</v>
      </c>
      <c r="L537" s="13" t="s">
        <v>39</v>
      </c>
      <c r="M537" s="13" t="s">
        <v>18</v>
      </c>
      <c r="N537" s="14">
        <v>10</v>
      </c>
      <c r="O537" s="13"/>
      <c r="P537" s="13"/>
      <c r="Q537" s="13"/>
      <c r="R537" s="13" t="s">
        <v>19</v>
      </c>
      <c r="S537" s="15"/>
    </row>
    <row r="538" spans="1:19" x14ac:dyDescent="0.3">
      <c r="A538" s="1" t="e">
        <f>IF(C538="","",MAX($A$2:A537)+1)</f>
        <v>#REF!</v>
      </c>
      <c r="B538" s="17" t="s">
        <v>36</v>
      </c>
      <c r="C538" s="3">
        <v>46103</v>
      </c>
      <c r="D538" s="5" t="str">
        <f>_xlfn.XLOOKUP([1]!Table134526_79101120212223242526[[#This Row],[Name Surname]],[1]Manpower!$C$4:$C$1048576,[1]Manpower!$B$4:$B$1048576,"")</f>
        <v>Encogroup</v>
      </c>
      <c r="E538" s="5" t="s">
        <v>112</v>
      </c>
      <c r="F538" s="4">
        <f>_xlfn.XLOOKUP([1]!Table134526_79101120212223242526[[#This Row],[Name Surname]],[1]Manpower!C:C,[1]Manpower!D:D,)</f>
        <v>140683371</v>
      </c>
      <c r="G538" s="5" t="str">
        <f>_xlfn.XLOOKUP([1]!Table134526_79101120212223242526[[#This Row],[Name Surname]],[1]Manpower!$C$4:$C$1048576,[1]Manpower!$F$4:$F$1048576,"")</f>
        <v>Rigger</v>
      </c>
      <c r="H538" s="5" t="str">
        <f>_xlfn.XLOOKUP([1]!Table134526_79101120212223242526[[#This Row],[Name Surname]],[1]Manpower!$C$4:$C$1048576,[1]Manpower!$H$4:$H$1048576,"")</f>
        <v>Manpower</v>
      </c>
      <c r="I538" s="5" t="str">
        <f>_xlfn.XLOOKUP([1]!Table134526_79101120212223242526[[#This Row],[Name Surname]],[1]Manpower!$C$4:$C$1048576,[1]Manpower!$H$4:$H$1048576,"")</f>
        <v>Manpower</v>
      </c>
      <c r="J538" s="5" t="s">
        <v>38</v>
      </c>
      <c r="K538" s="5" t="s">
        <v>7</v>
      </c>
      <c r="L538" s="5" t="s">
        <v>39</v>
      </c>
      <c r="M538" s="5" t="s">
        <v>18</v>
      </c>
      <c r="N538" s="6">
        <v>10</v>
      </c>
      <c r="O538" s="5"/>
      <c r="P538" s="5"/>
      <c r="Q538" s="5"/>
      <c r="R538" s="5" t="s">
        <v>19</v>
      </c>
      <c r="S538" s="8"/>
    </row>
    <row r="539" spans="1:19" x14ac:dyDescent="0.3">
      <c r="A539" s="9" t="e">
        <f>IF(C539="","",MAX($A$2:A538)+1)</f>
        <v>#REF!</v>
      </c>
      <c r="B539" s="17" t="s">
        <v>36</v>
      </c>
      <c r="C539" s="11">
        <v>46103</v>
      </c>
      <c r="D539" s="13" t="str">
        <f>_xlfn.XLOOKUP([1]!Table134526_79101120212223242526[[#This Row],[Name Surname]],[1]Manpower!$C$4:$C$1048576,[1]Manpower!$B$4:$B$1048576,"")</f>
        <v>Encogroup</v>
      </c>
      <c r="E539" s="11" t="s">
        <v>52</v>
      </c>
      <c r="F539" s="12">
        <f>_xlfn.XLOOKUP([1]!Table134526_79101120212223242526[[#This Row],[Name Surname]],[1]Manpower!C:C,[1]Manpower!D:D,)</f>
        <v>140844572</v>
      </c>
      <c r="G539" s="13" t="str">
        <f>_xlfn.XLOOKUP([1]!Table134526_79101120212223242526[[#This Row],[Name Surname]],[1]Manpower!$C$4:$C$1048576,[1]Manpower!$F$4:$F$1048576,"")</f>
        <v>Assistant/Helper</v>
      </c>
      <c r="H539" s="13" t="str">
        <f>_xlfn.XLOOKUP([1]!Table134526_79101120212223242526[[#This Row],[Name Surname]],[1]Manpower!$C$4:$C$1048576,[1]Manpower!$H$4:$H$1048576,"")</f>
        <v>Manpower</v>
      </c>
      <c r="I539" s="13" t="str">
        <f>_xlfn.XLOOKUP([1]!Table134526_79101120212223242526[[#This Row],[Name Surname]],[1]Manpower!$C$4:$C$1048576,[1]Manpower!$H$4:$H$1048576,"")</f>
        <v>Manpower</v>
      </c>
      <c r="J539" s="13" t="s">
        <v>38</v>
      </c>
      <c r="K539" s="13" t="s">
        <v>7</v>
      </c>
      <c r="L539" s="13" t="s">
        <v>39</v>
      </c>
      <c r="M539" s="13" t="s">
        <v>18</v>
      </c>
      <c r="N539" s="14">
        <v>10</v>
      </c>
      <c r="O539" s="13"/>
      <c r="P539" s="13"/>
      <c r="Q539" s="13"/>
      <c r="R539" s="13" t="s">
        <v>137</v>
      </c>
      <c r="S539" s="15"/>
    </row>
    <row r="540" spans="1:19" x14ac:dyDescent="0.3">
      <c r="A540" s="1" t="e">
        <f>IF(C540="","",MAX($A$2:A539)+1)</f>
        <v>#REF!</v>
      </c>
      <c r="B540" s="17" t="s">
        <v>36</v>
      </c>
      <c r="C540" s="3">
        <v>46103</v>
      </c>
      <c r="D540" s="5" t="str">
        <f>_xlfn.XLOOKUP([1]!Table134526_79101120212223242526[[#This Row],[Name Surname]],[1]Manpower!$C$4:$C$1048576,[1]Manpower!$B$4:$B$1048576,"")</f>
        <v>Encogroup</v>
      </c>
      <c r="E540" s="5" t="s">
        <v>53</v>
      </c>
      <c r="F540" s="4">
        <f>_xlfn.XLOOKUP([1]!Table134526_79101120212223242526[[#This Row],[Name Surname]],[1]Manpower!C:C,[1]Manpower!D:D,)</f>
        <v>140844848</v>
      </c>
      <c r="G540" s="5" t="str">
        <f>_xlfn.XLOOKUP([1]!Table134526_79101120212223242526[[#This Row],[Name Surname]],[1]Manpower!$C$4:$C$1048576,[1]Manpower!$F$4:$F$1048576,"")</f>
        <v>Assistant/Helper</v>
      </c>
      <c r="H540" s="5" t="str">
        <f>_xlfn.XLOOKUP([1]!Table134526_79101120212223242526[[#This Row],[Name Surname]],[1]Manpower!$C$4:$C$1048576,[1]Manpower!$H$4:$H$1048576,"")</f>
        <v>Manpower</v>
      </c>
      <c r="I540" s="5" t="str">
        <f>_xlfn.XLOOKUP([1]!Table134526_79101120212223242526[[#This Row],[Name Surname]],[1]Manpower!$C$4:$C$1048576,[1]Manpower!$H$4:$H$1048576,"")</f>
        <v>Manpower</v>
      </c>
      <c r="J540" s="5" t="s">
        <v>38</v>
      </c>
      <c r="K540" s="5" t="s">
        <v>7</v>
      </c>
      <c r="L540" s="5" t="s">
        <v>39</v>
      </c>
      <c r="M540" s="5" t="s">
        <v>5</v>
      </c>
      <c r="N540" s="6">
        <v>10</v>
      </c>
      <c r="O540" s="5" t="s">
        <v>33</v>
      </c>
      <c r="P540" s="5" t="s">
        <v>33</v>
      </c>
      <c r="Q540" s="5" t="s">
        <v>33</v>
      </c>
      <c r="R540" s="5" t="s">
        <v>7</v>
      </c>
      <c r="S540" s="8"/>
    </row>
    <row r="541" spans="1:19" x14ac:dyDescent="0.3">
      <c r="A541" s="9" t="e">
        <f>IF(C541="","",MAX($A$2:A540)+1)</f>
        <v>#REF!</v>
      </c>
      <c r="B541" s="17" t="s">
        <v>36</v>
      </c>
      <c r="C541" s="11">
        <v>46103</v>
      </c>
      <c r="D541" s="13" t="str">
        <f>_xlfn.XLOOKUP([1]!Table134526_79101120212223242526[[#This Row],[Name Surname]],[1]Manpower!$C$4:$C$1048576,[1]Manpower!$B$4:$B$1048576,"")</f>
        <v>Encogroup</v>
      </c>
      <c r="E541" s="13" t="s">
        <v>54</v>
      </c>
      <c r="F541" s="12">
        <f>_xlfn.XLOOKUP([1]!Table134526_79101120212223242526[[#This Row],[Name Surname]],[1]Manpower!C:C,[1]Manpower!D:D,)</f>
        <v>141359216</v>
      </c>
      <c r="G541" s="13" t="str">
        <f>_xlfn.XLOOKUP([1]!Table134526_79101120212223242526[[#This Row],[Name Surname]],[1]Manpower!$C$4:$C$1048576,[1]Manpower!$F$4:$F$1048576,"")</f>
        <v>Electrician</v>
      </c>
      <c r="H541" s="13" t="str">
        <f>_xlfn.XLOOKUP([1]!Table134526_79101120212223242526[[#This Row],[Name Surname]],[1]Manpower!$C$4:$C$1048576,[1]Manpower!$H$4:$H$1048576,"")</f>
        <v>Manpower</v>
      </c>
      <c r="I541" s="13" t="str">
        <f>_xlfn.XLOOKUP([1]!Table134526_79101120212223242526[[#This Row],[Name Surname]],[1]Manpower!$C$4:$C$1048576,[1]Manpower!$H$4:$H$1048576,"")</f>
        <v>Manpower</v>
      </c>
      <c r="J541" s="13" t="s">
        <v>38</v>
      </c>
      <c r="K541" s="13" t="s">
        <v>7</v>
      </c>
      <c r="L541" s="13" t="s">
        <v>39</v>
      </c>
      <c r="M541" s="13" t="s">
        <v>5</v>
      </c>
      <c r="N541" s="14">
        <v>10</v>
      </c>
      <c r="O541" s="13" t="s">
        <v>33</v>
      </c>
      <c r="P541" s="13" t="s">
        <v>33</v>
      </c>
      <c r="Q541" s="13" t="s">
        <v>33</v>
      </c>
      <c r="R541" s="13" t="s">
        <v>7</v>
      </c>
      <c r="S541" s="15"/>
    </row>
    <row r="542" spans="1:19" x14ac:dyDescent="0.3">
      <c r="A542" s="1" t="e">
        <f>IF(C542="","",MAX($A$2:A541)+1)</f>
        <v>#REF!</v>
      </c>
      <c r="B542" s="17" t="s">
        <v>36</v>
      </c>
      <c r="C542" s="3">
        <v>46103</v>
      </c>
      <c r="D542" s="5" t="str">
        <f>_xlfn.XLOOKUP([1]!Table134526_79101120212223242526[[#This Row],[Name Surname]],[1]Manpower!$C$4:$C$1048576,[1]Manpower!$B$4:$B$1048576,"")</f>
        <v>Encogroup</v>
      </c>
      <c r="E542" s="5" t="s">
        <v>55</v>
      </c>
      <c r="F542" s="4">
        <f>_xlfn.XLOOKUP([1]!Table134526_79101120212223242526[[#This Row],[Name Surname]],[1]Manpower!C:C,[1]Manpower!D:D,)</f>
        <v>140683399</v>
      </c>
      <c r="G542" s="5" t="str">
        <f>_xlfn.XLOOKUP([1]!Table134526_79101120212223242526[[#This Row],[Name Surname]],[1]Manpower!$C$4:$C$1048576,[1]Manpower!$F$4:$F$1048576,"")</f>
        <v>Rigger</v>
      </c>
      <c r="H542" s="5" t="str">
        <f>_xlfn.XLOOKUP([1]!Table134526_79101120212223242526[[#This Row],[Name Surname]],[1]Manpower!$C$4:$C$1048576,[1]Manpower!$H$4:$H$1048576,"")</f>
        <v>Manpower</v>
      </c>
      <c r="I542" s="5" t="str">
        <f>_xlfn.XLOOKUP([1]!Table134526_79101120212223242526[[#This Row],[Name Surname]],[1]Manpower!$C$4:$C$1048576,[1]Manpower!$H$4:$H$1048576,"")</f>
        <v>Manpower</v>
      </c>
      <c r="J542" s="5" t="s">
        <v>38</v>
      </c>
      <c r="K542" s="5" t="s">
        <v>7</v>
      </c>
      <c r="L542" s="5" t="s">
        <v>39</v>
      </c>
      <c r="M542" s="5" t="s">
        <v>5</v>
      </c>
      <c r="N542" s="6">
        <v>10</v>
      </c>
      <c r="O542" s="5" t="s">
        <v>33</v>
      </c>
      <c r="P542" s="5" t="s">
        <v>33</v>
      </c>
      <c r="Q542" s="5" t="s">
        <v>33</v>
      </c>
      <c r="R542" s="5" t="s">
        <v>7</v>
      </c>
      <c r="S542" s="8"/>
    </row>
    <row r="543" spans="1:19" x14ac:dyDescent="0.3">
      <c r="A543" s="9" t="e">
        <f>IF(C543="","",MAX($A$2:A542)+1)</f>
        <v>#REF!</v>
      </c>
      <c r="B543" s="17" t="s">
        <v>36</v>
      </c>
      <c r="C543" s="11">
        <v>46103</v>
      </c>
      <c r="D543" s="13" t="str">
        <f>_xlfn.XLOOKUP([1]!Table134526_79101120212223242526[[#This Row],[Name Surname]],[1]Manpower!$C$4:$C$1048576,[1]Manpower!$B$4:$B$1048576,"")</f>
        <v>Encogroup</v>
      </c>
      <c r="E543" s="13" t="s">
        <v>56</v>
      </c>
      <c r="F543" s="12">
        <f>_xlfn.XLOOKUP([1]!Table134526_79101120212223242526[[#This Row],[Name Surname]],[1]Manpower!C:C,[1]Manpower!D:D,)</f>
        <v>141365164</v>
      </c>
      <c r="G543" s="13" t="str">
        <f>_xlfn.XLOOKUP([1]!Table134526_79101120212223242526[[#This Row],[Name Surname]],[1]Manpower!$C$4:$C$1048576,[1]Manpower!$F$4:$F$1048576,"")</f>
        <v>Helper</v>
      </c>
      <c r="H543" s="13" t="str">
        <f>_xlfn.XLOOKUP([1]!Table134526_79101120212223242526[[#This Row],[Name Surname]],[1]Manpower!$C$4:$C$1048576,[1]Manpower!$H$4:$H$1048576,"")</f>
        <v>Manpower</v>
      </c>
      <c r="I543" s="13" t="str">
        <f>_xlfn.XLOOKUP([1]!Table134526_79101120212223242526[[#This Row],[Name Surname]],[1]Manpower!$C$4:$C$1048576,[1]Manpower!$H$4:$H$1048576,"")</f>
        <v>Manpower</v>
      </c>
      <c r="J543" s="13" t="s">
        <v>38</v>
      </c>
      <c r="K543" s="13" t="s">
        <v>7</v>
      </c>
      <c r="L543" s="13" t="s">
        <v>39</v>
      </c>
      <c r="M543" s="13" t="s">
        <v>5</v>
      </c>
      <c r="N543" s="14">
        <v>10</v>
      </c>
      <c r="O543" s="13" t="s">
        <v>33</v>
      </c>
      <c r="P543" s="13" t="s">
        <v>33</v>
      </c>
      <c r="Q543" s="13" t="s">
        <v>33</v>
      </c>
      <c r="R543" s="13" t="s">
        <v>7</v>
      </c>
      <c r="S543" s="15"/>
    </row>
    <row r="544" spans="1:19" x14ac:dyDescent="0.3">
      <c r="A544" s="1" t="e">
        <f>IF(C544="","",MAX($A$2:A542)+1)</f>
        <v>#REF!</v>
      </c>
      <c r="B544" s="17" t="s">
        <v>36</v>
      </c>
      <c r="C544" s="3">
        <v>46103</v>
      </c>
      <c r="D544" s="5" t="str">
        <f>_xlfn.XLOOKUP([1]!Table134526_79101120212223242526[[#This Row],[Name Surname]],[1]Manpower!$C$4:$C$1048576,[1]Manpower!$B$4:$B$1048576,"")</f>
        <v>Bright Light</v>
      </c>
      <c r="E544" s="5" t="s">
        <v>57</v>
      </c>
      <c r="F544" s="4" t="e">
        <f>_xlfn.XLOOKUP([1]!Table134526_79101120212223242526[[#This Row],[Name Surname]],[1]Manpower!C:C,[1]Manpower!D:D,)</f>
        <v>#N/A</v>
      </c>
      <c r="G544" s="5" t="str">
        <f>_xlfn.XLOOKUP([1]!Table134526_79101120212223242526[[#This Row],[Name Surname]],[1]Manpower!$C$4:$C$1048576,[1]Manpower!$F$4:$F$1048576,"")</f>
        <v>Trailer</v>
      </c>
      <c r="H544" s="5" t="str">
        <f>_xlfn.XLOOKUP([1]!Table134526_79101120212223242526[[#This Row],[Name Surname]],[1]Manpower!$C$4:$C$1048576,[1]Manpower!$H$4:$H$1048576,"")</f>
        <v>Equipment</v>
      </c>
      <c r="I544" s="5" t="str">
        <f>_xlfn.XLOOKUP([1]!Table134526_79101120212223242526[[#This Row],[Name Surname]],[1]Manpower!$C$4:$C$1048576,[1]Manpower!$H$4:$H$1048576,"")</f>
        <v>Equipment</v>
      </c>
      <c r="J544" s="5" t="s">
        <v>38</v>
      </c>
      <c r="K544" s="5" t="s">
        <v>7</v>
      </c>
      <c r="L544" s="5" t="s">
        <v>39</v>
      </c>
      <c r="M544" s="5" t="s">
        <v>18</v>
      </c>
      <c r="N544" s="6">
        <v>10</v>
      </c>
      <c r="O544" s="5"/>
      <c r="P544" s="5"/>
      <c r="Q544" s="5"/>
      <c r="R544" s="5" t="s">
        <v>138</v>
      </c>
      <c r="S544" s="8"/>
    </row>
    <row r="545" spans="1:19" x14ac:dyDescent="0.3">
      <c r="A545" s="9" t="e">
        <f>IF(C545="","",MAX($A$2:A544)+1)</f>
        <v>#REF!</v>
      </c>
      <c r="B545" s="17" t="s">
        <v>36</v>
      </c>
      <c r="C545" s="11">
        <v>46103</v>
      </c>
      <c r="D545" s="13" t="str">
        <f>_xlfn.XLOOKUP([1]!Table134526_79101120212223242526[[#This Row],[Name Surname]],[1]Manpower!$C$4:$C$1048576,[1]Manpower!$B$4:$B$1048576,"")</f>
        <v>Encogroup</v>
      </c>
      <c r="E545" s="11" t="s">
        <v>58</v>
      </c>
      <c r="F545" s="12">
        <f>_xlfn.XLOOKUP([1]!Table134526_79101120212223242526[[#This Row],[Name Surname]],[1]Manpower!C:C,[1]Manpower!D:D,)</f>
        <v>140477664</v>
      </c>
      <c r="G545" s="13" t="str">
        <f>_xlfn.XLOOKUP([1]!Table134526_79101120212223242526[[#This Row],[Name Surname]],[1]Manpower!$C$4:$C$1048576,[1]Manpower!$F$4:$F$1048576,"")</f>
        <v>Junior HSE Officer</v>
      </c>
      <c r="H545" s="13" t="str">
        <f>_xlfn.XLOOKUP([1]!Table134526_79101120212223242526[[#This Row],[Name Surname]],[1]Manpower!$C$4:$C$1048576,[1]Manpower!$H$4:$H$1048576,"")</f>
        <v>Manpower</v>
      </c>
      <c r="I545" s="13" t="str">
        <f>_xlfn.XLOOKUP([1]!Table134526_79101120212223242526[[#This Row],[Name Surname]],[1]Manpower!$C$4:$C$1048576,[1]Manpower!$H$4:$H$1048576,"")</f>
        <v>Manpower</v>
      </c>
      <c r="J545" s="13" t="s">
        <v>38</v>
      </c>
      <c r="K545" s="13" t="s">
        <v>7</v>
      </c>
      <c r="L545" s="13" t="s">
        <v>39</v>
      </c>
      <c r="M545" s="13" t="s">
        <v>18</v>
      </c>
      <c r="N545" s="14">
        <v>10</v>
      </c>
      <c r="O545" s="13"/>
      <c r="P545" s="13"/>
      <c r="Q545" s="13"/>
      <c r="R545" s="13" t="s">
        <v>19</v>
      </c>
      <c r="S545" s="15"/>
    </row>
    <row r="546" spans="1:19" x14ac:dyDescent="0.3">
      <c r="A546" s="1" t="e">
        <f>IF(C546="","",MAX($A$2:A545)+1)</f>
        <v>#REF!</v>
      </c>
      <c r="B546" s="17" t="s">
        <v>36</v>
      </c>
      <c r="C546" s="3">
        <v>46103</v>
      </c>
      <c r="D546" s="5" t="str">
        <f>_xlfn.XLOOKUP([1]!Table134526_79101120212223242526[[#This Row],[Name Surname]],[1]Manpower!$C$4:$C$1048576,[1]Manpower!$B$4:$B$1048576,"")</f>
        <v>AL Omar International TRAD AND CONT</v>
      </c>
      <c r="E546" s="3" t="s">
        <v>59</v>
      </c>
      <c r="F546" s="4">
        <f>_xlfn.XLOOKUP([1]!Table134526_79101120212223242526[[#This Row],[Name Surname]],[1]Manpower!C:C,[1]Manpower!D:D,)</f>
        <v>116676257</v>
      </c>
      <c r="G546" s="5" t="str">
        <f>_xlfn.XLOOKUP([1]!Table134526_79101120212223242526[[#This Row],[Name Surname]],[1]Manpower!$C$4:$C$1048576,[1]Manpower!$F$4:$F$1048576,"")</f>
        <v>Scaffolder</v>
      </c>
      <c r="H546" s="5" t="str">
        <f>_xlfn.XLOOKUP([1]!Table134526_79101120212223242526[[#This Row],[Name Surname]],[1]Manpower!$C$4:$C$1048576,[1]Manpower!$H$4:$H$1048576,"")</f>
        <v>Sub Contactor</v>
      </c>
      <c r="I546" s="5" t="str">
        <f>_xlfn.XLOOKUP([1]!Table134526_79101120212223242526[[#This Row],[Name Surname]],[1]Manpower!$C$4:$C$1048576,[1]Manpower!$H$4:$H$1048576,"")</f>
        <v>Sub Contactor</v>
      </c>
      <c r="J546" s="5" t="s">
        <v>38</v>
      </c>
      <c r="K546" s="5" t="s">
        <v>7</v>
      </c>
      <c r="L546" s="5" t="s">
        <v>39</v>
      </c>
      <c r="M546" s="5" t="s">
        <v>18</v>
      </c>
      <c r="N546" s="6">
        <v>10</v>
      </c>
      <c r="O546" s="5"/>
      <c r="P546" s="5"/>
      <c r="Q546" s="5"/>
      <c r="R546" s="5" t="s">
        <v>19</v>
      </c>
      <c r="S546" s="8"/>
    </row>
    <row r="547" spans="1:19" x14ac:dyDescent="0.3">
      <c r="A547" s="9" t="e">
        <f>IF(C547="","",MAX($A$2:A546)+1)</f>
        <v>#REF!</v>
      </c>
      <c r="B547" s="2" t="s">
        <v>0</v>
      </c>
      <c r="C547" s="11">
        <v>46104</v>
      </c>
      <c r="D547" s="13" t="str">
        <f>_xlfn.XLOOKUP([1]!Table134526_79101120212223242526[[#This Row],[Name Surname]],[1]Manpower!$C$4:$C$1048576,[1]Manpower!$B$4:$B$1048576,"")</f>
        <v>Encogroup</v>
      </c>
      <c r="E547" s="13" t="s">
        <v>129</v>
      </c>
      <c r="F547" s="12">
        <f>_xlfn.XLOOKUP([1]!Table134526_79101120212223242526[[#This Row],[Name Surname]],[1]Manpower!C:C,[1]Manpower!D:D,)</f>
        <v>140846698</v>
      </c>
      <c r="G547" s="13" t="str">
        <f>_xlfn.XLOOKUP([1]!Table134526_79101120212223242526[[#This Row],[Name Surname]],[1]Manpower!$C$4:$C$1048576,[1]Manpower!$F$4:$F$1048576,"")</f>
        <v>Assistant/Helper</v>
      </c>
      <c r="H547" s="13" t="str">
        <f>_xlfn.XLOOKUP([1]!Table134526_79101120212223242526[[#This Row],[Name Surname]],[1]Manpower!$C$4:$C$1048576,[1]Manpower!$H$4:$H$1048576,"")</f>
        <v>Manpower</v>
      </c>
      <c r="I547" s="13" t="str">
        <f>_xlfn.XLOOKUP([1]!Table134526_79101120212223242526[[#This Row],[Name Surname]],[1]Manpower!$C$4:$C$1048576,[1]Manpower!$H$4:$H$1048576,"")</f>
        <v>Manpower</v>
      </c>
      <c r="J547" s="13" t="s">
        <v>2</v>
      </c>
      <c r="K547" s="13" t="s">
        <v>39</v>
      </c>
      <c r="L547" s="13" t="s">
        <v>10</v>
      </c>
      <c r="M547" s="13" t="s">
        <v>18</v>
      </c>
      <c r="N547" s="14">
        <v>10</v>
      </c>
      <c r="O547" s="13"/>
      <c r="P547" s="13"/>
      <c r="Q547" s="13"/>
      <c r="R547" s="13" t="s">
        <v>139</v>
      </c>
      <c r="S547" s="15"/>
    </row>
    <row r="548" spans="1:19" x14ac:dyDescent="0.3">
      <c r="A548" s="1" t="e">
        <f>IF(C548="","",MAX($A$2:A547)+1)</f>
        <v>#REF!</v>
      </c>
      <c r="B548" s="2" t="s">
        <v>0</v>
      </c>
      <c r="C548" s="3">
        <v>46104</v>
      </c>
      <c r="D548" s="5" t="str">
        <f>_xlfn.XLOOKUP([1]!Table134526_79101120212223242526[[#This Row],[Name Surname]],[1]Manpower!$C$4:$C$1048576,[1]Manpower!$B$4:$B$1048576,"")</f>
        <v>SARENS NASS</v>
      </c>
      <c r="E548" s="5" t="s">
        <v>46</v>
      </c>
      <c r="F548" s="4">
        <f>_xlfn.XLOOKUP([1]!Table134526_79101120212223242526[[#This Row],[Name Surname]],[1]Manpower!C:C,[1]Manpower!D:D,)</f>
        <v>109957631</v>
      </c>
      <c r="G548" s="5" t="str">
        <f>_xlfn.XLOOKUP([1]!Table134526_79101120212223242526[[#This Row],[Name Surname]],[1]Manpower!$C$4:$C$1048576,[1]Manpower!$F$4:$F$1048576,"")</f>
        <v>Crane Operator-130T Liebherr Crawler</v>
      </c>
      <c r="H548" s="5" t="str">
        <f>_xlfn.XLOOKUP([1]!Table134526_79101120212223242526[[#This Row],[Name Surname]],[1]Manpower!$C$4:$C$1048576,[1]Manpower!$H$4:$H$1048576,"")</f>
        <v>Manpower</v>
      </c>
      <c r="I548" s="5" t="str">
        <f>_xlfn.XLOOKUP([1]!Table134526_79101120212223242526[[#This Row],[Name Surname]],[1]Manpower!$C$4:$C$1048576,[1]Manpower!$H$4:$H$1048576,"")</f>
        <v>Manpower</v>
      </c>
      <c r="J548" s="5" t="s">
        <v>2</v>
      </c>
      <c r="K548" s="5" t="s">
        <v>39</v>
      </c>
      <c r="L548" s="5" t="s">
        <v>10</v>
      </c>
      <c r="M548" s="5" t="s">
        <v>18</v>
      </c>
      <c r="N548" s="6">
        <v>10</v>
      </c>
      <c r="O548" s="5"/>
      <c r="P548" s="5"/>
      <c r="Q548" s="5"/>
      <c r="R548" s="5" t="s">
        <v>139</v>
      </c>
      <c r="S548" s="8"/>
    </row>
    <row r="549" spans="1:19" x14ac:dyDescent="0.3">
      <c r="A549" s="9" t="e">
        <f>IF(C549="","",MAX($A$2:A548)+1)</f>
        <v>#REF!</v>
      </c>
      <c r="B549" s="10" t="s">
        <v>0</v>
      </c>
      <c r="C549" s="11">
        <v>46104</v>
      </c>
      <c r="D549" s="13" t="str">
        <f>_xlfn.XLOOKUP([1]!Table134526_79101120212223242526[[#This Row],[Name Surname]],[1]Manpower!$C$4:$C$1048576,[1]Manpower!$B$4:$B$1048576,"")</f>
        <v>Encogroup</v>
      </c>
      <c r="E549" s="11" t="s">
        <v>61</v>
      </c>
      <c r="F549" s="12">
        <f>_xlfn.XLOOKUP([1]!Table134526_79101120212223242526[[#This Row],[Name Surname]],[1]Manpower!C:C,[1]Manpower!D:D,)</f>
        <v>140663253</v>
      </c>
      <c r="G549" s="13" t="str">
        <f>_xlfn.XLOOKUP([1]!Table134526_79101120212223242526[[#This Row],[Name Surname]],[1]Manpower!$C$4:$C$1048576,[1]Manpower!$F$4:$F$1048576,"")</f>
        <v>Painting Inspector</v>
      </c>
      <c r="H549" s="13" t="str">
        <f>_xlfn.XLOOKUP([1]!Table134526_79101120212223242526[[#This Row],[Name Surname]],[1]Manpower!$C$4:$C$1048576,[1]Manpower!$H$4:$H$1048576,"")</f>
        <v>Manpower</v>
      </c>
      <c r="I549" s="13" t="str">
        <f>_xlfn.XLOOKUP([1]!Table134526_79101120212223242526[[#This Row],[Name Surname]],[1]Manpower!$C$4:$C$1048576,[1]Manpower!$H$4:$H$1048576,"")</f>
        <v>Manpower</v>
      </c>
      <c r="J549" s="13" t="s">
        <v>9</v>
      </c>
      <c r="K549" s="13" t="s">
        <v>7</v>
      </c>
      <c r="L549" s="13" t="s">
        <v>10</v>
      </c>
      <c r="M549" s="13" t="s">
        <v>18</v>
      </c>
      <c r="N549" s="14">
        <v>5</v>
      </c>
      <c r="O549" s="13" t="s">
        <v>11</v>
      </c>
      <c r="P549" s="13" t="s">
        <v>12</v>
      </c>
      <c r="Q549" s="13" t="s">
        <v>13</v>
      </c>
      <c r="R549" s="13" t="s">
        <v>140</v>
      </c>
      <c r="S549" s="15"/>
    </row>
    <row r="550" spans="1:19" x14ac:dyDescent="0.3">
      <c r="A550" s="1" t="e">
        <f>IF(C550="","",MAX($A$2:A549)+1)</f>
        <v>#REF!</v>
      </c>
      <c r="B550" s="10" t="s">
        <v>0</v>
      </c>
      <c r="C550" s="3">
        <v>46104</v>
      </c>
      <c r="D550" s="5" t="str">
        <f>_xlfn.XLOOKUP([1]!Table134526_79101120212223242526[[#This Row],[Name Surname]],[1]Manpower!$C$4:$C$1048576,[1]Manpower!$B$4:$B$1048576,"")</f>
        <v>Encogroup</v>
      </c>
      <c r="E550" s="5" t="s">
        <v>8</v>
      </c>
      <c r="F550" s="4">
        <f>_xlfn.XLOOKUP([1]!Table134526_79101120212223242526[[#This Row],[Name Surname]],[1]Manpower!C:C,[1]Manpower!D:D,)</f>
        <v>140742177</v>
      </c>
      <c r="G550" s="5" t="str">
        <f>_xlfn.XLOOKUP([1]!Table134526_79101120212223242526[[#This Row],[Name Surname]],[1]Manpower!$C$4:$C$1048576,[1]Manpower!$F$4:$F$1048576,"")</f>
        <v>Grinder</v>
      </c>
      <c r="H550" s="5" t="str">
        <f>_xlfn.XLOOKUP([1]!Table134526_79101120212223242526[[#This Row],[Name Surname]],[1]Manpower!$C$4:$C$1048576,[1]Manpower!$H$4:$H$1048576,"")</f>
        <v>Manpower</v>
      </c>
      <c r="I550" s="5" t="str">
        <f>_xlfn.XLOOKUP([1]!Table134526_79101120212223242526[[#This Row],[Name Surname]],[1]Manpower!$C$4:$C$1048576,[1]Manpower!$H$4:$H$1048576,"")</f>
        <v>Manpower</v>
      </c>
      <c r="J550" s="5" t="s">
        <v>9</v>
      </c>
      <c r="K550" s="5" t="s">
        <v>7</v>
      </c>
      <c r="L550" s="5" t="s">
        <v>10</v>
      </c>
      <c r="M550" s="5" t="s">
        <v>18</v>
      </c>
      <c r="N550" s="6">
        <v>5</v>
      </c>
      <c r="O550" s="5" t="s">
        <v>11</v>
      </c>
      <c r="P550" s="5" t="s">
        <v>12</v>
      </c>
      <c r="Q550" s="5" t="s">
        <v>13</v>
      </c>
      <c r="R550" s="5" t="s">
        <v>140</v>
      </c>
      <c r="S550" s="8"/>
    </row>
    <row r="551" spans="1:19" x14ac:dyDescent="0.3">
      <c r="A551" s="9" t="e">
        <f>IF(C551="","",MAX($A$2:A550)+1)</f>
        <v>#REF!</v>
      </c>
      <c r="B551" s="10" t="s">
        <v>0</v>
      </c>
      <c r="C551" s="11">
        <v>46104</v>
      </c>
      <c r="D551" s="13" t="str">
        <f>_xlfn.XLOOKUP([1]!Table134526_79101120212223242526[[#This Row],[Name Surname]],[1]Manpower!$C$4:$C$1048576,[1]Manpower!$B$4:$B$1048576,"")</f>
        <v>Encogroup</v>
      </c>
      <c r="E551" s="13" t="s">
        <v>17</v>
      </c>
      <c r="F551" s="12">
        <f>_xlfn.XLOOKUP([1]!Table134526_79101120212223242526[[#This Row],[Name Surname]],[1]Manpower!C:C,[1]Manpower!D:D,)</f>
        <v>116853914</v>
      </c>
      <c r="G551" s="13" t="str">
        <f>_xlfn.XLOOKUP([1]!Table134526_79101120212223242526[[#This Row],[Name Surname]],[1]Manpower!$C$4:$C$1048576,[1]Manpower!$F$4:$F$1048576,"")</f>
        <v>Electrical Supervisor</v>
      </c>
      <c r="H551" s="13" t="str">
        <f>_xlfn.XLOOKUP([1]!Table134526_79101120212223242526[[#This Row],[Name Surname]],[1]Manpower!$C$4:$C$1048576,[1]Manpower!$H$4:$H$1048576,"")</f>
        <v>Manpower</v>
      </c>
      <c r="I551" s="13" t="str">
        <f>_xlfn.XLOOKUP([1]!Table134526_79101120212223242526[[#This Row],[Name Surname]],[1]Manpower!$C$4:$C$1048576,[1]Manpower!$H$4:$H$1048576,"")</f>
        <v>Manpower</v>
      </c>
      <c r="J551" s="13" t="s">
        <v>9</v>
      </c>
      <c r="K551" s="13" t="s">
        <v>7</v>
      </c>
      <c r="L551" s="13" t="s">
        <v>10</v>
      </c>
      <c r="M551" s="13" t="s">
        <v>18</v>
      </c>
      <c r="N551" s="14">
        <v>5</v>
      </c>
      <c r="O551" s="13" t="s">
        <v>6</v>
      </c>
      <c r="P551" s="13" t="s">
        <v>12</v>
      </c>
      <c r="Q551" s="13" t="s">
        <v>29</v>
      </c>
      <c r="R551" s="13" t="s">
        <v>140</v>
      </c>
      <c r="S551" s="15"/>
    </row>
    <row r="552" spans="1:19" x14ac:dyDescent="0.3">
      <c r="A552" s="1" t="e">
        <f>IF(C552="","",MAX($A$2:A551)+1)</f>
        <v>#REF!</v>
      </c>
      <c r="B552" s="10" t="s">
        <v>0</v>
      </c>
      <c r="C552" s="3">
        <v>46104</v>
      </c>
      <c r="D552" s="5" t="str">
        <f>_xlfn.XLOOKUP([1]!Table134526_79101120212223242526[[#This Row],[Name Surname]],[1]Manpower!$C$4:$C$1048576,[1]Manpower!$B$4:$B$1048576,"")</f>
        <v>Encogroup</v>
      </c>
      <c r="E552" s="5" t="s">
        <v>15</v>
      </c>
      <c r="F552" s="4" t="e">
        <f>_xlfn.XLOOKUP([1]!Table134526_79101120212223242526[[#This Row],[Name Surname]],[1]Manpower!C:C,[1]Manpower!D:D,)</f>
        <v>#N/A</v>
      </c>
      <c r="G552" s="5" t="str">
        <f>_xlfn.XLOOKUP([1]!Table134526_79101120212223242526[[#This Row],[Name Surname]],[1]Manpower!$C$4:$C$1048576,[1]Manpower!$F$4:$F$1048576,"")</f>
        <v>TOWER LIGHT</v>
      </c>
      <c r="H552" s="5" t="str">
        <f>_xlfn.XLOOKUP([1]!Table134526_79101120212223242526[[#This Row],[Name Surname]],[1]Manpower!$C$4:$C$1048576,[1]Manpower!$H$4:$H$1048576,"")</f>
        <v>Equipment</v>
      </c>
      <c r="I552" s="5" t="str">
        <f>_xlfn.XLOOKUP([1]!Table134526_79101120212223242526[[#This Row],[Name Surname]],[1]Manpower!$C$4:$C$1048576,[1]Manpower!$H$4:$H$1048576,"")</f>
        <v>Equipment</v>
      </c>
      <c r="J552" s="5" t="s">
        <v>9</v>
      </c>
      <c r="K552" s="5" t="s">
        <v>7</v>
      </c>
      <c r="L552" s="5" t="s">
        <v>10</v>
      </c>
      <c r="M552" s="5" t="s">
        <v>18</v>
      </c>
      <c r="N552" s="6">
        <v>5</v>
      </c>
      <c r="O552" s="5" t="s">
        <v>6</v>
      </c>
      <c r="P552" s="5" t="s">
        <v>12</v>
      </c>
      <c r="Q552" s="5" t="s">
        <v>29</v>
      </c>
      <c r="R552" s="5" t="s">
        <v>140</v>
      </c>
      <c r="S552" s="8"/>
    </row>
    <row r="553" spans="1:19" x14ac:dyDescent="0.3">
      <c r="A553" s="9" t="e">
        <f>IF(C553="","",MAX($A$2:A552)+1)</f>
        <v>#REF!</v>
      </c>
      <c r="B553" s="10" t="s">
        <v>0</v>
      </c>
      <c r="C553" s="11">
        <v>46104</v>
      </c>
      <c r="D553" s="11" t="str">
        <f>_xlfn.XLOOKUP([1]!Table134526_79101120212223242526[[#This Row],[Name Surname]],[1]Manpower!$C$4:$C$1048576,[1]Manpower!$B$4:$B$1048576,"")</f>
        <v>Encogroup</v>
      </c>
      <c r="E553" s="11" t="s">
        <v>20</v>
      </c>
      <c r="F553" s="12" t="e">
        <f>_xlfn.XLOOKUP([1]!Table134526_79101120212223242526[[#This Row],[Name Surname]],[1]Manpower!C:C,[1]Manpower!D:D,)</f>
        <v>#N/A</v>
      </c>
      <c r="G553" s="11" t="str">
        <f>_xlfn.XLOOKUP([1]!Table134526_79101120212223242526[[#This Row],[Name Surname]],[1]Manpower!$C$4:$C$1048576,[1]Manpower!$F$4:$F$1048576,"")</f>
        <v>TOWER LIGHT</v>
      </c>
      <c r="H553" s="11" t="str">
        <f>_xlfn.XLOOKUP([1]!Table134526_79101120212223242526[[#This Row],[Name Surname]],[1]Manpower!$C$4:$C$1048576,[1]Manpower!$H$4:$H$1048576,"")</f>
        <v>Equipment</v>
      </c>
      <c r="I553" s="11" t="str">
        <f>_xlfn.XLOOKUP([1]!Table134526_79101120212223242526[[#This Row],[Name Surname]],[1]Manpower!$C$4:$C$1048576,[1]Manpower!$H$4:$H$1048576,"")</f>
        <v>Equipment</v>
      </c>
      <c r="J553" s="13" t="s">
        <v>9</v>
      </c>
      <c r="K553" s="13" t="s">
        <v>7</v>
      </c>
      <c r="L553" s="13" t="s">
        <v>10</v>
      </c>
      <c r="M553" s="13" t="s">
        <v>18</v>
      </c>
      <c r="N553" s="14">
        <v>5</v>
      </c>
      <c r="O553" s="13" t="s">
        <v>6</v>
      </c>
      <c r="P553" s="13" t="s">
        <v>12</v>
      </c>
      <c r="Q553" s="13" t="s">
        <v>12</v>
      </c>
      <c r="R553" s="13" t="s">
        <v>140</v>
      </c>
      <c r="S553" s="15"/>
    </row>
    <row r="554" spans="1:19" x14ac:dyDescent="0.3">
      <c r="A554" s="1" t="e">
        <f>IF(C554="","",MAX($A$2:A547)+1)</f>
        <v>#REF!</v>
      </c>
      <c r="B554" s="16" t="s">
        <v>21</v>
      </c>
      <c r="C554" s="3">
        <v>46104</v>
      </c>
      <c r="D554" s="5" t="str">
        <f>_xlfn.XLOOKUP([1]!Table134526_79101120212223242526[[#This Row],[Name Surname]],[1]Manpower!$C$4:$C$1048576,[1]Manpower!$B$4:$B$1048576,"")</f>
        <v>AL Omar International Tarde&amp;Contracting SPC</v>
      </c>
      <c r="E554" s="5" t="s">
        <v>22</v>
      </c>
      <c r="F554" s="4">
        <f>_xlfn.XLOOKUP([1]!Table134526_79101120212223242526[[#This Row],[Name Surname]],[1]Manpower!C:C,[1]Manpower!D:D,)</f>
        <v>115122635</v>
      </c>
      <c r="G554" s="5" t="str">
        <f>_xlfn.XLOOKUP([1]!Table134526_79101120212223242526[[#This Row],[Name Surname]],[1]Manpower!$C$4:$C$1048576,[1]Manpower!$F$4:$F$1048576,"")</f>
        <v>Scaffolder</v>
      </c>
      <c r="H554" s="5" t="str">
        <f>_xlfn.XLOOKUP([1]!Table134526_79101120212223242526[[#This Row],[Name Surname]],[1]Manpower!$C$4:$C$1048576,[1]Manpower!$H$4:$H$1048576,"")</f>
        <v>Sub Contactor</v>
      </c>
      <c r="I554" s="5" t="str">
        <f>_xlfn.XLOOKUP([1]!Table134526_79101120212223242526[[#This Row],[Name Surname]],[1]Manpower!$C$4:$C$1048576,[1]Manpower!$H$4:$H$1048576,"")</f>
        <v>Sub Contactor</v>
      </c>
      <c r="J554" s="5" t="s">
        <v>23</v>
      </c>
      <c r="K554" s="5" t="s">
        <v>81</v>
      </c>
      <c r="L554" s="5" t="s">
        <v>25</v>
      </c>
      <c r="M554" s="5" t="s">
        <v>18</v>
      </c>
      <c r="N554" s="6">
        <v>5</v>
      </c>
      <c r="O554" s="5" t="s">
        <v>6</v>
      </c>
      <c r="P554" s="5" t="s">
        <v>12</v>
      </c>
      <c r="Q554" s="5" t="s">
        <v>26</v>
      </c>
      <c r="R554" s="5" t="s">
        <v>134</v>
      </c>
      <c r="S554" s="8"/>
    </row>
    <row r="555" spans="1:19" x14ac:dyDescent="0.3">
      <c r="A555" s="9" t="e">
        <f>IF(C555="","",MAX($A$2:A554)+1)</f>
        <v>#REF!</v>
      </c>
      <c r="B555" s="16" t="s">
        <v>21</v>
      </c>
      <c r="C555" s="11">
        <v>46104</v>
      </c>
      <c r="D555" s="13" t="str">
        <f>_xlfn.XLOOKUP([1]!Table134526_79101120212223242526[[#This Row],[Name Surname]],[1]Manpower!$C$4:$C$1048576,[1]Manpower!$B$4:$B$1048576,"")</f>
        <v>Encogroup</v>
      </c>
      <c r="E555" s="13" t="s">
        <v>28</v>
      </c>
      <c r="F555" s="12">
        <f>_xlfn.XLOOKUP([1]!Table134526_79101120212223242526[[#This Row],[Name Surname]],[1]Manpower!C:C,[1]Manpower!D:D,)</f>
        <v>137114773</v>
      </c>
      <c r="G555" s="13" t="str">
        <f>_xlfn.XLOOKUP([1]!Table134526_79101120212223242526[[#This Row],[Name Surname]],[1]Manpower!$C$4:$C$1048576,[1]Manpower!$F$4:$F$1048576,"")</f>
        <v>Rigger</v>
      </c>
      <c r="H555" s="13" t="str">
        <f>_xlfn.XLOOKUP([1]!Table134526_79101120212223242526[[#This Row],[Name Surname]],[1]Manpower!$C$4:$C$1048576,[1]Manpower!$H$4:$H$1048576,"")</f>
        <v>Manpower</v>
      </c>
      <c r="I555" s="13" t="str">
        <f>_xlfn.XLOOKUP([1]!Table134526_79101120212223242526[[#This Row],[Name Surname]],[1]Manpower!$C$4:$C$1048576,[1]Manpower!$H$4:$H$1048576,"")</f>
        <v>Manpower</v>
      </c>
      <c r="J555" s="13" t="s">
        <v>23</v>
      </c>
      <c r="K555" s="13" t="s">
        <v>81</v>
      </c>
      <c r="L555" s="13" t="s">
        <v>25</v>
      </c>
      <c r="M555" s="13" t="s">
        <v>18</v>
      </c>
      <c r="N555" s="14">
        <v>5</v>
      </c>
      <c r="O555" s="13" t="s">
        <v>6</v>
      </c>
      <c r="P555" s="13" t="s">
        <v>12</v>
      </c>
      <c r="Q555" s="13" t="s">
        <v>26</v>
      </c>
      <c r="R555" s="13" t="s">
        <v>135</v>
      </c>
      <c r="S555" s="15"/>
    </row>
    <row r="556" spans="1:19" x14ac:dyDescent="0.3">
      <c r="A556" s="1" t="e">
        <f>IF(C556="","",MAX($A$2:A555)+1)</f>
        <v>#REF!</v>
      </c>
      <c r="B556" s="16" t="s">
        <v>21</v>
      </c>
      <c r="C556" s="3">
        <v>46104</v>
      </c>
      <c r="D556" s="5" t="str">
        <f>_xlfn.XLOOKUP([1]!Table134526_79101120212223242526[[#This Row],[Name Surname]],[1]Manpower!$C$4:$C$1048576,[1]Manpower!$B$4:$B$1048576,"")</f>
        <v>Encogroup</v>
      </c>
      <c r="E556" s="5" t="s">
        <v>111</v>
      </c>
      <c r="F556" s="4">
        <f>_xlfn.XLOOKUP([1]!Table134526_79101120212223242526[[#This Row],[Name Surname]],[1]Manpower!C:C,[1]Manpower!D:D,)</f>
        <v>122082863</v>
      </c>
      <c r="G556" s="5" t="str">
        <f>_xlfn.XLOOKUP([1]!Table134526_79101120212223242526[[#This Row],[Name Surname]],[1]Manpower!$C$4:$C$1048576,[1]Manpower!$F$4:$F$1048576,"")</f>
        <v>Grinder</v>
      </c>
      <c r="H556" s="5" t="str">
        <f>_xlfn.XLOOKUP([1]!Table134526_79101120212223242526[[#This Row],[Name Surname]],[1]Manpower!$C$4:$C$1048576,[1]Manpower!$H$4:$H$1048576,"")</f>
        <v>Manpower</v>
      </c>
      <c r="I556" s="5" t="str">
        <f>_xlfn.XLOOKUP([1]!Table134526_79101120212223242526[[#This Row],[Name Surname]],[1]Manpower!$C$4:$C$1048576,[1]Manpower!$H$4:$H$1048576,"")</f>
        <v>Manpower</v>
      </c>
      <c r="J556" s="5" t="s">
        <v>23</v>
      </c>
      <c r="K556" s="5" t="s">
        <v>81</v>
      </c>
      <c r="L556" s="5" t="s">
        <v>25</v>
      </c>
      <c r="M556" s="5" t="s">
        <v>18</v>
      </c>
      <c r="N556" s="6">
        <v>5</v>
      </c>
      <c r="O556" s="5"/>
      <c r="P556" s="5"/>
      <c r="Q556" s="5"/>
      <c r="R556" s="5" t="s">
        <v>19</v>
      </c>
      <c r="S556" s="8"/>
    </row>
    <row r="557" spans="1:19" x14ac:dyDescent="0.3">
      <c r="A557" s="9" t="e">
        <f>IF(C557="","",MAX($A$2:A556)+1)</f>
        <v>#REF!</v>
      </c>
      <c r="B557" s="16" t="s">
        <v>21</v>
      </c>
      <c r="C557" s="11">
        <v>46104</v>
      </c>
      <c r="D557" s="13" t="str">
        <f>_xlfn.XLOOKUP([1]!Table134526_79101120212223242526[[#This Row],[Name Surname]],[1]Manpower!$C$4:$C$1048576,[1]Manpower!$B$4:$B$1048576,"")</f>
        <v>Encogroup</v>
      </c>
      <c r="E557" s="13" t="s">
        <v>31</v>
      </c>
      <c r="F557" s="12">
        <f>_xlfn.XLOOKUP([1]!Table134526_79101120212223242526[[#This Row],[Name Surname]],[1]Manpower!C:C,[1]Manpower!D:D,)</f>
        <v>140696989</v>
      </c>
      <c r="G557" s="13" t="str">
        <f>_xlfn.XLOOKUP([1]!Table134526_79101120212223242526[[#This Row],[Name Surname]],[1]Manpower!$C$4:$C$1048576,[1]Manpower!$F$4:$F$1048576,"")</f>
        <v>Assistant/Helper</v>
      </c>
      <c r="H557" s="13" t="str">
        <f>_xlfn.XLOOKUP([1]!Table134526_79101120212223242526[[#This Row],[Name Surname]],[1]Manpower!$C$4:$C$1048576,[1]Manpower!$H$4:$H$1048576,"")</f>
        <v>Manpower</v>
      </c>
      <c r="I557" s="13" t="str">
        <f>_xlfn.XLOOKUP([1]!Table134526_79101120212223242526[[#This Row],[Name Surname]],[1]Manpower!$C$4:$C$1048576,[1]Manpower!$H$4:$H$1048576,"")</f>
        <v>Manpower</v>
      </c>
      <c r="J557" s="13" t="s">
        <v>23</v>
      </c>
      <c r="K557" s="13" t="s">
        <v>81</v>
      </c>
      <c r="L557" s="13" t="s">
        <v>25</v>
      </c>
      <c r="M557" s="13" t="s">
        <v>18</v>
      </c>
      <c r="N557" s="14">
        <v>5</v>
      </c>
      <c r="O557" s="13" t="s">
        <v>11</v>
      </c>
      <c r="P557" s="13" t="s">
        <v>12</v>
      </c>
      <c r="Q557" s="13" t="s">
        <v>13</v>
      </c>
      <c r="R557" s="13" t="s">
        <v>7</v>
      </c>
      <c r="S557" s="15"/>
    </row>
    <row r="558" spans="1:19" x14ac:dyDescent="0.3">
      <c r="A558" s="1" t="e">
        <f>IF(C558="","",MAX($A$2:A557)+1)</f>
        <v>#REF!</v>
      </c>
      <c r="B558" s="16" t="s">
        <v>21</v>
      </c>
      <c r="C558" s="3">
        <v>46104</v>
      </c>
      <c r="D558" s="5" t="str">
        <f>_xlfn.XLOOKUP([1]!Table134526_79101120212223242526[[#This Row],[Name Surname]],[1]Manpower!$C$4:$C$1048576,[1]Manpower!$B$4:$B$1048576,"")</f>
        <v>Encogroup</v>
      </c>
      <c r="E558" s="5" t="s">
        <v>41</v>
      </c>
      <c r="F558" s="4">
        <f>_xlfn.XLOOKUP([1]!Table134526_79101120212223242526[[#This Row],[Name Surname]],[1]Manpower!C:C,[1]Manpower!D:D,)</f>
        <v>141365094</v>
      </c>
      <c r="G558" s="5" t="str">
        <f>_xlfn.XLOOKUP([1]!Table134526_79101120212223242526[[#This Row],[Name Surname]],[1]Manpower!$C$4:$C$1048576,[1]Manpower!$F$4:$F$1048576,"")</f>
        <v>Helper</v>
      </c>
      <c r="H558" s="5" t="str">
        <f>_xlfn.XLOOKUP([1]!Table134526_79101120212223242526[[#This Row],[Name Surname]],[1]Manpower!$C$4:$C$1048576,[1]Manpower!$H$4:$H$1048576,"")</f>
        <v>Manpower</v>
      </c>
      <c r="I558" s="5" t="str">
        <f>_xlfn.XLOOKUP([1]!Table134526_79101120212223242526[[#This Row],[Name Surname]],[1]Manpower!$C$4:$C$1048576,[1]Manpower!$H$4:$H$1048576,"")</f>
        <v>Manpower</v>
      </c>
      <c r="J558" s="5" t="s">
        <v>23</v>
      </c>
      <c r="K558" s="5" t="s">
        <v>141</v>
      </c>
      <c r="L558" s="5" t="s">
        <v>25</v>
      </c>
      <c r="M558" s="5" t="s">
        <v>18</v>
      </c>
      <c r="N558" s="6">
        <v>5</v>
      </c>
      <c r="O558" s="5" t="s">
        <v>11</v>
      </c>
      <c r="P558" s="5" t="s">
        <v>12</v>
      </c>
      <c r="Q558" s="5" t="s">
        <v>13</v>
      </c>
      <c r="R558" s="5" t="s">
        <v>142</v>
      </c>
      <c r="S558" s="8"/>
    </row>
    <row r="559" spans="1:19" x14ac:dyDescent="0.3">
      <c r="A559" s="9" t="e">
        <f>IF(C559="","",MAX($A$2:A558)+1)</f>
        <v>#REF!</v>
      </c>
      <c r="B559" s="16" t="s">
        <v>21</v>
      </c>
      <c r="C559" s="11">
        <v>46104</v>
      </c>
      <c r="D559" s="13" t="str">
        <f>_xlfn.XLOOKUP([1]!Table134526_79101120212223242526[[#This Row],[Name Surname]],[1]Manpower!$C$4:$C$1048576,[1]Manpower!$B$4:$B$1048576,"")</f>
        <v xml:space="preserve">FAL Transport </v>
      </c>
      <c r="E559" s="13" t="s">
        <v>32</v>
      </c>
      <c r="F559" s="12">
        <f>_xlfn.XLOOKUP([1]!Table134526_79101120212223242526[[#This Row],[Name Surname]],[1]Manpower!C:C,[1]Manpower!D:D,)</f>
        <v>124233837</v>
      </c>
      <c r="G559" s="13" t="str">
        <f>_xlfn.XLOOKUP([1]!Table134526_79101120212223242526[[#This Row],[Name Surname]],[1]Manpower!$C$4:$C$1048576,[1]Manpower!$F$4:$F$1048576,"")</f>
        <v>Trailer Driver</v>
      </c>
      <c r="H559" s="13" t="str">
        <f>_xlfn.XLOOKUP([1]!Table134526_79101120212223242526[[#This Row],[Name Surname]],[1]Manpower!$C$4:$C$1048576,[1]Manpower!$H$4:$H$1048576,"")</f>
        <v>Sub Contactor</v>
      </c>
      <c r="I559" s="13" t="str">
        <f>_xlfn.XLOOKUP([1]!Table134526_79101120212223242526[[#This Row],[Name Surname]],[1]Manpower!$C$4:$C$1048576,[1]Manpower!$H$4:$H$1048576,"")</f>
        <v>Sub Contactor</v>
      </c>
      <c r="J559" s="13" t="s">
        <v>23</v>
      </c>
      <c r="K559" s="13" t="s">
        <v>81</v>
      </c>
      <c r="L559" s="13" t="s">
        <v>25</v>
      </c>
      <c r="M559" s="13" t="s">
        <v>18</v>
      </c>
      <c r="N559" s="14">
        <v>10</v>
      </c>
      <c r="O559" s="13" t="s">
        <v>33</v>
      </c>
      <c r="P559" s="13" t="s">
        <v>33</v>
      </c>
      <c r="Q559" s="13" t="s">
        <v>33</v>
      </c>
      <c r="R559" s="13" t="s">
        <v>7</v>
      </c>
      <c r="S559" s="15"/>
    </row>
    <row r="560" spans="1:19" x14ac:dyDescent="0.3">
      <c r="A560" s="1" t="e">
        <f>IF(C560="","",MAX($A$2:A558)+1)</f>
        <v>#REF!</v>
      </c>
      <c r="B560" s="16" t="s">
        <v>21</v>
      </c>
      <c r="C560" s="3">
        <v>46104</v>
      </c>
      <c r="D560" s="5" t="str">
        <f>_xlfn.XLOOKUP([1]!Table134526_79101120212223242526[[#This Row],[Name Surname]],[1]Manpower!$C$4:$C$1048576,[1]Manpower!$B$4:$B$1048576,"")</f>
        <v>Riyan Al Khaleej</v>
      </c>
      <c r="E560" s="5" t="s">
        <v>34</v>
      </c>
      <c r="F560" s="4" t="e">
        <f>_xlfn.XLOOKUP([1]!Table134526_79101120212223242526[[#This Row],[Name Surname]],[1]Manpower!C:C,[1]Manpower!D:D,)</f>
        <v>#N/A</v>
      </c>
      <c r="G560" s="5" t="str">
        <f>_xlfn.XLOOKUP([1]!Table134526_79101120212223242526[[#This Row],[Name Surname]],[1]Manpower!$C$4:$C$1048576,[1]Manpower!$F$4:$F$1048576,"")</f>
        <v>100T Telescopic Crane</v>
      </c>
      <c r="H560" s="5" t="str">
        <f>_xlfn.XLOOKUP([1]!Table134526_79101120212223242526[[#This Row],[Name Surname]],[1]Manpower!$C$4:$C$1048576,[1]Manpower!$H$4:$H$1048576,"")</f>
        <v>Equipment</v>
      </c>
      <c r="I560" s="5" t="str">
        <f>_xlfn.XLOOKUP([1]!Table134526_79101120212223242526[[#This Row],[Name Surname]],[1]Manpower!$C$4:$C$1048576,[1]Manpower!$H$4:$H$1048576,"")</f>
        <v>Equipment</v>
      </c>
      <c r="J560" s="5" t="s">
        <v>23</v>
      </c>
      <c r="K560" s="5" t="s">
        <v>81</v>
      </c>
      <c r="L560" s="5" t="s">
        <v>25</v>
      </c>
      <c r="M560" s="5" t="s">
        <v>18</v>
      </c>
      <c r="N560" s="6">
        <v>5</v>
      </c>
      <c r="O560" s="5" t="s">
        <v>35</v>
      </c>
      <c r="P560" s="5" t="s">
        <v>35</v>
      </c>
      <c r="Q560" s="5" t="s">
        <v>35</v>
      </c>
      <c r="R560" s="5" t="s">
        <v>7</v>
      </c>
      <c r="S560" s="8"/>
    </row>
    <row r="561" spans="1:19" x14ac:dyDescent="0.3">
      <c r="A561" s="9" t="e">
        <f>IF(C561="","",MAX($A$2:A560)+1)</f>
        <v>#REF!</v>
      </c>
      <c r="B561" s="16" t="s">
        <v>21</v>
      </c>
      <c r="C561" s="11">
        <v>46104</v>
      </c>
      <c r="D561" s="13" t="str">
        <f>_xlfn.XLOOKUP([1]!Table134526_79101120212223242526[[#This Row],[Name Surname]],[1]Manpower!$C$4:$C$1048576,[1]Manpower!$B$4:$B$1048576,"")</f>
        <v>Encogroup</v>
      </c>
      <c r="E561" s="13" t="s">
        <v>120</v>
      </c>
      <c r="F561" s="12">
        <f>_xlfn.XLOOKUP([1]!Table134526_79101120212223242526[[#This Row],[Name Surname]],[1]Manpower!C:C,[1]Manpower!D:D,)</f>
        <v>127414586</v>
      </c>
      <c r="G561" s="13" t="str">
        <f>_xlfn.XLOOKUP([1]!Table134526_79101120212223242526[[#This Row],[Name Surname]],[1]Manpower!$C$4:$C$1048576,[1]Manpower!$F$4:$F$1048576,"")</f>
        <v>Electrician</v>
      </c>
      <c r="H561" s="13" t="str">
        <f>_xlfn.XLOOKUP([1]!Table134526_79101120212223242526[[#This Row],[Name Surname]],[1]Manpower!$C$4:$C$1048576,[1]Manpower!$H$4:$H$1048576,"")</f>
        <v>Manpower</v>
      </c>
      <c r="I561" s="13" t="str">
        <f>_xlfn.XLOOKUP([1]!Table134526_79101120212223242526[[#This Row],[Name Surname]],[1]Manpower!$C$4:$C$1048576,[1]Manpower!$H$4:$H$1048576,"")</f>
        <v>Manpower</v>
      </c>
      <c r="J561" s="13" t="s">
        <v>23</v>
      </c>
      <c r="K561" s="13" t="s">
        <v>81</v>
      </c>
      <c r="L561" s="13" t="s">
        <v>25</v>
      </c>
      <c r="M561" s="13" t="s">
        <v>18</v>
      </c>
      <c r="N561" s="14">
        <v>5</v>
      </c>
      <c r="O561" s="13" t="s">
        <v>35</v>
      </c>
      <c r="P561" s="13" t="s">
        <v>35</v>
      </c>
      <c r="Q561" s="13" t="s">
        <v>35</v>
      </c>
      <c r="R561" s="13" t="s">
        <v>7</v>
      </c>
      <c r="S561" s="15"/>
    </row>
    <row r="562" spans="1:19" x14ac:dyDescent="0.3">
      <c r="A562" s="1" t="e">
        <f>IF(C562="","",MAX($A$2:A561)+1)</f>
        <v>#REF!</v>
      </c>
      <c r="B562" s="17" t="s">
        <v>36</v>
      </c>
      <c r="C562" s="3">
        <v>46104</v>
      </c>
      <c r="D562" s="5" t="str">
        <f>_xlfn.XLOOKUP([1]!Table134526_79101120212223242526[[#This Row],[Name Surname]],[1]Manpower!$C$4:$C$1048576,[1]Manpower!$B$4:$B$1048576,"")</f>
        <v>Encogroup</v>
      </c>
      <c r="E562" s="5" t="s">
        <v>43</v>
      </c>
      <c r="F562" s="4">
        <f>_xlfn.XLOOKUP([1]!Table134526_79101120212223242526[[#This Row],[Name Surname]],[1]Manpower!C:C,[1]Manpower!D:D,)</f>
        <v>127331574</v>
      </c>
      <c r="G562" s="5" t="str">
        <f>_xlfn.XLOOKUP([1]!Table134526_79101120212223242526[[#This Row],[Name Surname]],[1]Manpower!$C$4:$C$1048576,[1]Manpower!$F$4:$F$1048576,"")</f>
        <v>Permit Receiver</v>
      </c>
      <c r="H562" s="5" t="str">
        <f>_xlfn.XLOOKUP([1]!Table134526_79101120212223242526[[#This Row],[Name Surname]],[1]Manpower!$C$4:$C$1048576,[1]Manpower!$H$4:$H$1048576,"")</f>
        <v>Manpower</v>
      </c>
      <c r="I562" s="5" t="str">
        <f>_xlfn.XLOOKUP([1]!Table134526_79101120212223242526[[#This Row],[Name Surname]],[1]Manpower!$C$4:$C$1048576,[1]Manpower!$H$4:$H$1048576,"")</f>
        <v>Manpower</v>
      </c>
      <c r="J562" s="5" t="s">
        <v>38</v>
      </c>
      <c r="K562" s="5" t="s">
        <v>7</v>
      </c>
      <c r="L562" s="5" t="s">
        <v>39</v>
      </c>
      <c r="M562" s="5" t="s">
        <v>18</v>
      </c>
      <c r="N562" s="6">
        <v>5</v>
      </c>
      <c r="O562" s="5" t="s">
        <v>11</v>
      </c>
      <c r="P562" s="5" t="s">
        <v>13</v>
      </c>
      <c r="Q562" s="5" t="s">
        <v>13</v>
      </c>
      <c r="R562" s="5" t="s">
        <v>143</v>
      </c>
      <c r="S562" s="8"/>
    </row>
    <row r="563" spans="1:19" x14ac:dyDescent="0.3">
      <c r="A563" s="9" t="e">
        <f>IF(C563="","",MAX($A$2:A562)+1)</f>
        <v>#REF!</v>
      </c>
      <c r="B563" s="17" t="s">
        <v>36</v>
      </c>
      <c r="C563" s="11">
        <v>46104</v>
      </c>
      <c r="D563" s="13" t="str">
        <f>_xlfn.XLOOKUP([1]!Table134526_79101120212223242526[[#This Row],[Name Surname]],[1]Manpower!$C$4:$C$1048576,[1]Manpower!$B$4:$B$1048576,"")</f>
        <v>Encogroup</v>
      </c>
      <c r="E563" s="13" t="s">
        <v>1</v>
      </c>
      <c r="F563" s="12">
        <f>_xlfn.XLOOKUP([1]!Table134526_79101120212223242526[[#This Row],[Name Surname]],[1]Manpower!C:C,[1]Manpower!D:D,)</f>
        <v>116589569</v>
      </c>
      <c r="G563" s="13" t="str">
        <f>_xlfn.XLOOKUP([1]!Table134526_79101120212223242526[[#This Row],[Name Surname]],[1]Manpower!$C$4:$C$1048576,[1]Manpower!$F$4:$F$1048576,"")</f>
        <v>Mechanical Engineer</v>
      </c>
      <c r="H563" s="13" t="str">
        <f>_xlfn.XLOOKUP([1]!Table134526_79101120212223242526[[#This Row],[Name Surname]],[1]Manpower!$C$4:$C$1048576,[1]Manpower!$H$4:$H$1048576,"")</f>
        <v>Manpower</v>
      </c>
      <c r="I563" s="13" t="str">
        <f>_xlfn.XLOOKUP([1]!Table134526_79101120212223242526[[#This Row],[Name Surname]],[1]Manpower!$C$4:$C$1048576,[1]Manpower!$H$4:$H$1048576,"")</f>
        <v>Manpower</v>
      </c>
      <c r="J563" s="13" t="s">
        <v>38</v>
      </c>
      <c r="K563" s="13" t="s">
        <v>7</v>
      </c>
      <c r="L563" s="13" t="s">
        <v>39</v>
      </c>
      <c r="M563" s="13" t="s">
        <v>18</v>
      </c>
      <c r="N563" s="14">
        <v>5</v>
      </c>
      <c r="O563" s="13" t="s">
        <v>11</v>
      </c>
      <c r="P563" s="13" t="s">
        <v>13</v>
      </c>
      <c r="Q563" s="13" t="s">
        <v>13</v>
      </c>
      <c r="R563" s="13" t="s">
        <v>136</v>
      </c>
      <c r="S563" s="15"/>
    </row>
    <row r="564" spans="1:19" x14ac:dyDescent="0.3">
      <c r="A564" s="1" t="e">
        <f>IF(C564="","",MAX($A$2:A563)+1)</f>
        <v>#REF!</v>
      </c>
      <c r="B564" s="17" t="s">
        <v>36</v>
      </c>
      <c r="C564" s="3">
        <v>46104</v>
      </c>
      <c r="D564" s="5" t="str">
        <f>_xlfn.XLOOKUP([1]!Table134526_79101120212223242526[[#This Row],[Name Surname]],[1]Manpower!$C$4:$C$1048576,[1]Manpower!$B$4:$B$1048576,"")</f>
        <v>Encogroup</v>
      </c>
      <c r="E564" s="5" t="s">
        <v>37</v>
      </c>
      <c r="F564" s="4">
        <f>_xlfn.XLOOKUP([1]!Table134526_79101120212223242526[[#This Row],[Name Surname]],[1]Manpower!C:C,[1]Manpower!D:D,)</f>
        <v>99596058</v>
      </c>
      <c r="G564" s="5" t="str">
        <f>_xlfn.XLOOKUP([1]!Table134526_79101120212223242526[[#This Row],[Name Surname]],[1]Manpower!$C$4:$C$1048576,[1]Manpower!$F$4:$F$1048576,"")</f>
        <v>HSE Officer</v>
      </c>
      <c r="H564" s="5" t="str">
        <f>_xlfn.XLOOKUP([1]!Table134526_79101120212223242526[[#This Row],[Name Surname]],[1]Manpower!$C$4:$C$1048576,[1]Manpower!$H$4:$H$1048576,"")</f>
        <v>Manpower</v>
      </c>
      <c r="I564" s="5" t="str">
        <f>_xlfn.XLOOKUP([1]!Table134526_79101120212223242526[[#This Row],[Name Surname]],[1]Manpower!$C$4:$C$1048576,[1]Manpower!$H$4:$H$1048576,"")</f>
        <v>Manpower</v>
      </c>
      <c r="J564" s="5" t="s">
        <v>38</v>
      </c>
      <c r="K564" s="5" t="s">
        <v>7</v>
      </c>
      <c r="L564" s="5" t="s">
        <v>39</v>
      </c>
      <c r="M564" s="5" t="s">
        <v>18</v>
      </c>
      <c r="N564" s="6">
        <v>5</v>
      </c>
      <c r="O564" s="5" t="s">
        <v>33</v>
      </c>
      <c r="P564" s="5" t="s">
        <v>33</v>
      </c>
      <c r="Q564" s="5" t="s">
        <v>33</v>
      </c>
      <c r="R564" s="5" t="s">
        <v>7</v>
      </c>
      <c r="S564" s="8"/>
    </row>
    <row r="565" spans="1:19" x14ac:dyDescent="0.3">
      <c r="A565" s="9" t="e">
        <f>IF(C565="","",MAX($A$2:A564)+1)</f>
        <v>#REF!</v>
      </c>
      <c r="B565" s="17" t="s">
        <v>36</v>
      </c>
      <c r="C565" s="11">
        <v>46104</v>
      </c>
      <c r="D565" s="13" t="str">
        <f>_xlfn.XLOOKUP([1]!Table134526_79101120212223242526[[#This Row],[Name Surname]],[1]Manpower!$C$4:$C$1048576,[1]Manpower!$B$4:$B$1048576,"")</f>
        <v>Encogroup</v>
      </c>
      <c r="E565" s="13" t="s">
        <v>40</v>
      </c>
      <c r="F565" s="12">
        <f>_xlfn.XLOOKUP([1]!Table134526_79101120212223242526[[#This Row],[Name Surname]],[1]Manpower!C:C,[1]Manpower!D:D,)</f>
        <v>140697039</v>
      </c>
      <c r="G565" s="13" t="str">
        <f>_xlfn.XLOOKUP([1]!Table134526_79101120212223242526[[#This Row],[Name Surname]],[1]Manpower!$C$4:$C$1048576,[1]Manpower!$F$4:$F$1048576,"")</f>
        <v>Fitter/Erector</v>
      </c>
      <c r="H565" s="13" t="str">
        <f>_xlfn.XLOOKUP([1]!Table134526_79101120212223242526[[#This Row],[Name Surname]],[1]Manpower!$C$4:$C$1048576,[1]Manpower!$H$4:$H$1048576,"")</f>
        <v>Manpower</v>
      </c>
      <c r="I565" s="13" t="str">
        <f>_xlfn.XLOOKUP([1]!Table134526_79101120212223242526[[#This Row],[Name Surname]],[1]Manpower!$C$4:$C$1048576,[1]Manpower!$H$4:$H$1048576,"")</f>
        <v>Manpower</v>
      </c>
      <c r="J565" s="13" t="s">
        <v>38</v>
      </c>
      <c r="K565" s="13" t="s">
        <v>7</v>
      </c>
      <c r="L565" s="13" t="s">
        <v>39</v>
      </c>
      <c r="M565" s="13" t="s">
        <v>18</v>
      </c>
      <c r="N565" s="14">
        <v>5</v>
      </c>
      <c r="O565" s="13" t="s">
        <v>33</v>
      </c>
      <c r="P565" s="13" t="s">
        <v>33</v>
      </c>
      <c r="Q565" s="13" t="s">
        <v>33</v>
      </c>
      <c r="R565" s="13" t="s">
        <v>7</v>
      </c>
      <c r="S565" s="15"/>
    </row>
    <row r="566" spans="1:19" x14ac:dyDescent="0.3">
      <c r="A566" s="1" t="e">
        <f>IF(C566="","",MAX($A$2:A564)+1)</f>
        <v>#REF!</v>
      </c>
      <c r="B566" s="17" t="s">
        <v>36</v>
      </c>
      <c r="C566" s="3">
        <v>46104</v>
      </c>
      <c r="D566" s="5" t="str">
        <f>_xlfn.XLOOKUP([1]!Table134526_79101120212223242526[[#This Row],[Name Surname]],[1]Manpower!$C$4:$C$1048576,[1]Manpower!$B$4:$B$1048576,"")</f>
        <v>Encogroup</v>
      </c>
      <c r="E566" s="5" t="s">
        <v>45</v>
      </c>
      <c r="F566" s="4">
        <f>_xlfn.XLOOKUP([1]!Table134526_79101120212223242526[[#This Row],[Name Surname]],[1]Manpower!C:C,[1]Manpower!D:D,)</f>
        <v>124565057</v>
      </c>
      <c r="G566" s="5" t="str">
        <f>_xlfn.XLOOKUP([1]!Table134526_79101120212223242526[[#This Row],[Name Surname]],[1]Manpower!$C$4:$C$1048576,[1]Manpower!$F$4:$F$1048576,"")</f>
        <v>Fitter/Erector</v>
      </c>
      <c r="H566" s="5" t="str">
        <f>_xlfn.XLOOKUP([1]!Table134526_79101120212223242526[[#This Row],[Name Surname]],[1]Manpower!$C$4:$C$1048576,[1]Manpower!$H$4:$H$1048576,"")</f>
        <v>Manpower</v>
      </c>
      <c r="I566" s="5" t="str">
        <f>_xlfn.XLOOKUP([1]!Table134526_79101120212223242526[[#This Row],[Name Surname]],[1]Manpower!$C$4:$C$1048576,[1]Manpower!$H$4:$H$1048576,"")</f>
        <v>Manpower</v>
      </c>
      <c r="J566" s="5" t="s">
        <v>38</v>
      </c>
      <c r="K566" s="5" t="s">
        <v>7</v>
      </c>
      <c r="L566" s="5" t="s">
        <v>39</v>
      </c>
      <c r="M566" s="5" t="s">
        <v>18</v>
      </c>
      <c r="N566" s="6">
        <v>5</v>
      </c>
      <c r="O566" s="5" t="s">
        <v>11</v>
      </c>
      <c r="P566" s="5" t="s">
        <v>13</v>
      </c>
      <c r="Q566" s="5" t="s">
        <v>12</v>
      </c>
      <c r="R566" s="5" t="s">
        <v>79</v>
      </c>
      <c r="S566" s="8"/>
    </row>
    <row r="567" spans="1:19" x14ac:dyDescent="0.3">
      <c r="A567" s="9" t="e">
        <f>IF(C567="","",MAX($A$2:A566)+1)</f>
        <v>#REF!</v>
      </c>
      <c r="B567" s="17" t="s">
        <v>36</v>
      </c>
      <c r="C567" s="11">
        <v>46104</v>
      </c>
      <c r="D567" s="13" t="str">
        <f>_xlfn.XLOOKUP([1]!Table134526_79101120212223242526[[#This Row],[Name Surname]],[1]Manpower!$C$4:$C$1048576,[1]Manpower!$B$4:$B$1048576,"")</f>
        <v>Encogroup</v>
      </c>
      <c r="E567" s="13" t="s">
        <v>48</v>
      </c>
      <c r="F567" s="12">
        <f>_xlfn.XLOOKUP([1]!Table134526_79101120212223242526[[#This Row],[Name Surname]],[1]Manpower!C:C,[1]Manpower!D:D,)</f>
        <v>141365023</v>
      </c>
      <c r="G567" s="13" t="str">
        <f>_xlfn.XLOOKUP([1]!Table134526_79101120212223242526[[#This Row],[Name Surname]],[1]Manpower!$C$4:$C$1048576,[1]Manpower!$F$4:$F$1048576,"")</f>
        <v>Grinder</v>
      </c>
      <c r="H567" s="13" t="str">
        <f>_xlfn.XLOOKUP([1]!Table134526_79101120212223242526[[#This Row],[Name Surname]],[1]Manpower!$C$4:$C$1048576,[1]Manpower!$H$4:$H$1048576,"")</f>
        <v>Manpower</v>
      </c>
      <c r="I567" s="13" t="str">
        <f>_xlfn.XLOOKUP([1]!Table134526_79101120212223242526[[#This Row],[Name Surname]],[1]Manpower!$C$4:$C$1048576,[1]Manpower!$H$4:$H$1048576,"")</f>
        <v>Manpower</v>
      </c>
      <c r="J567" s="13" t="s">
        <v>38</v>
      </c>
      <c r="K567" s="13" t="s">
        <v>7</v>
      </c>
      <c r="L567" s="13" t="s">
        <v>39</v>
      </c>
      <c r="M567" s="13" t="s">
        <v>18</v>
      </c>
      <c r="N567" s="14">
        <v>5</v>
      </c>
      <c r="O567" s="13" t="s">
        <v>33</v>
      </c>
      <c r="P567" s="13" t="s">
        <v>33</v>
      </c>
      <c r="Q567" s="13" t="s">
        <v>33</v>
      </c>
      <c r="R567" s="13" t="s">
        <v>7</v>
      </c>
      <c r="S567" s="15"/>
    </row>
    <row r="568" spans="1:19" x14ac:dyDescent="0.3">
      <c r="A568" s="1" t="e">
        <f>IF(C568="","",MAX($A$2:A567)+1)</f>
        <v>#REF!</v>
      </c>
      <c r="B568" s="17" t="s">
        <v>36</v>
      </c>
      <c r="C568" s="3">
        <v>46104</v>
      </c>
      <c r="D568" s="5" t="str">
        <f>_xlfn.XLOOKUP([1]!Table134526_79101120212223242526[[#This Row],[Name Surname]],[1]Manpower!$C$4:$C$1048576,[1]Manpower!$B$4:$B$1048576,"")</f>
        <v>AL Omar International TRAD AND CONT</v>
      </c>
      <c r="E568" s="5" t="s">
        <v>49</v>
      </c>
      <c r="F568" s="4">
        <f>_xlfn.XLOOKUP([1]!Table134526_79101120212223242526[[#This Row],[Name Surname]],[1]Manpower!C:C,[1]Manpower!D:D,)</f>
        <v>114929202</v>
      </c>
      <c r="G568" s="5" t="str">
        <f>_xlfn.XLOOKUP([1]!Table134526_79101120212223242526[[#This Row],[Name Surname]],[1]Manpower!$C$4:$C$1048576,[1]Manpower!$F$4:$F$1048576,"")</f>
        <v>RIgger</v>
      </c>
      <c r="H568" s="5" t="str">
        <f>_xlfn.XLOOKUP([1]!Table134526_79101120212223242526[[#This Row],[Name Surname]],[1]Manpower!$C$4:$C$1048576,[1]Manpower!$H$4:$H$1048576,"")</f>
        <v>Sub Contactor</v>
      </c>
      <c r="I568" s="5" t="str">
        <f>_xlfn.XLOOKUP([1]!Table134526_79101120212223242526[[#This Row],[Name Surname]],[1]Manpower!$C$4:$C$1048576,[1]Manpower!$H$4:$H$1048576,"")</f>
        <v>Sub Contactor</v>
      </c>
      <c r="J568" s="5" t="s">
        <v>38</v>
      </c>
      <c r="K568" s="5" t="s">
        <v>7</v>
      </c>
      <c r="L568" s="5" t="s">
        <v>39</v>
      </c>
      <c r="M568" s="5" t="s">
        <v>18</v>
      </c>
      <c r="N568" s="6">
        <v>5</v>
      </c>
      <c r="O568" s="5" t="s">
        <v>33</v>
      </c>
      <c r="P568" s="5" t="s">
        <v>33</v>
      </c>
      <c r="Q568" s="5" t="s">
        <v>33</v>
      </c>
      <c r="R568" s="5" t="s">
        <v>7</v>
      </c>
      <c r="S568" s="8"/>
    </row>
    <row r="569" spans="1:19" x14ac:dyDescent="0.3">
      <c r="A569" s="9" t="e">
        <f>IF(C569="","",MAX($A$2:A568)+1)</f>
        <v>#REF!</v>
      </c>
      <c r="B569" s="17" t="s">
        <v>36</v>
      </c>
      <c r="C569" s="11">
        <v>46104</v>
      </c>
      <c r="D569" s="13" t="str">
        <f>_xlfn.XLOOKUP([1]!Table134526_79101120212223242526[[#This Row],[Name Surname]],[1]Manpower!$C$4:$C$1048576,[1]Manpower!$B$4:$B$1048576,"")</f>
        <v>Encogroup</v>
      </c>
      <c r="E569" s="13" t="s">
        <v>50</v>
      </c>
      <c r="F569" s="12">
        <f>_xlfn.XLOOKUP([1]!Table134526_79101120212223242526[[#This Row],[Name Surname]],[1]Manpower!C:C,[1]Manpower!D:D,)</f>
        <v>140742088</v>
      </c>
      <c r="G569" s="13" t="str">
        <f>_xlfn.XLOOKUP([1]!Table134526_79101120212223242526[[#This Row],[Name Surname]],[1]Manpower!$C$4:$C$1048576,[1]Manpower!$F$4:$F$1048576,"")</f>
        <v>Fitter/Erector</v>
      </c>
      <c r="H569" s="13" t="str">
        <f>_xlfn.XLOOKUP([1]!Table134526_79101120212223242526[[#This Row],[Name Surname]],[1]Manpower!$C$4:$C$1048576,[1]Manpower!$H$4:$H$1048576,"")</f>
        <v>Manpower</v>
      </c>
      <c r="I569" s="13" t="str">
        <f>_xlfn.XLOOKUP([1]!Table134526_79101120212223242526[[#This Row],[Name Surname]],[1]Manpower!$C$4:$C$1048576,[1]Manpower!$H$4:$H$1048576,"")</f>
        <v>Manpower</v>
      </c>
      <c r="J569" s="13" t="s">
        <v>38</v>
      </c>
      <c r="K569" s="13" t="s">
        <v>7</v>
      </c>
      <c r="L569" s="13" t="s">
        <v>39</v>
      </c>
      <c r="M569" s="13" t="s">
        <v>18</v>
      </c>
      <c r="N569" s="14">
        <v>5</v>
      </c>
      <c r="O569" s="13" t="s">
        <v>35</v>
      </c>
      <c r="P569" s="13" t="s">
        <v>35</v>
      </c>
      <c r="Q569" s="13" t="s">
        <v>35</v>
      </c>
      <c r="R569" s="13" t="s">
        <v>7</v>
      </c>
      <c r="S569" s="15"/>
    </row>
    <row r="570" spans="1:19" x14ac:dyDescent="0.3">
      <c r="A570" s="1" t="e">
        <f>IF(C570="","",MAX($A$2:A569)+1)</f>
        <v>#REF!</v>
      </c>
      <c r="B570" s="17" t="s">
        <v>36</v>
      </c>
      <c r="C570" s="3">
        <v>46104</v>
      </c>
      <c r="D570" s="5" t="str">
        <f>_xlfn.XLOOKUP([1]!Table134526_79101120212223242526[[#This Row],[Name Surname]],[1]Manpower!$C$4:$C$1048576,[1]Manpower!$B$4:$B$1048576,"")</f>
        <v>Rial Al Khaleej</v>
      </c>
      <c r="E570" s="3" t="s">
        <v>51</v>
      </c>
      <c r="F570" s="4">
        <f>_xlfn.XLOOKUP([1]!Table134526_79101120212223242526[[#This Row],[Name Surname]],[1]Manpower!C:C,[1]Manpower!D:D,)</f>
        <v>98845403</v>
      </c>
      <c r="G570" s="5" t="str">
        <f>_xlfn.XLOOKUP([1]!Table134526_79101120212223242526[[#This Row],[Name Surname]],[1]Manpower!$C$4:$C$1048576,[1]Manpower!$F$4:$F$1048576,"")</f>
        <v>Crane Operator-100T Zoomlion Telescopic</v>
      </c>
      <c r="H570" s="5" t="str">
        <f>_xlfn.XLOOKUP([1]!Table134526_79101120212223242526[[#This Row],[Name Surname]],[1]Manpower!$C$4:$C$1048576,[1]Manpower!$H$4:$H$1048576,"")</f>
        <v>Manpower</v>
      </c>
      <c r="I570" s="5" t="str">
        <f>_xlfn.XLOOKUP([1]!Table134526_79101120212223242526[[#This Row],[Name Surname]],[1]Manpower!$C$4:$C$1048576,[1]Manpower!$H$4:$H$1048576,"")</f>
        <v>Manpower</v>
      </c>
      <c r="J570" s="5" t="s">
        <v>38</v>
      </c>
      <c r="K570" s="5" t="s">
        <v>7</v>
      </c>
      <c r="L570" s="5" t="s">
        <v>39</v>
      </c>
      <c r="M570" s="5" t="s">
        <v>18</v>
      </c>
      <c r="N570" s="6">
        <v>5</v>
      </c>
      <c r="O570" s="5"/>
      <c r="P570" s="5"/>
      <c r="Q570" s="5"/>
      <c r="R570" s="5" t="s">
        <v>19</v>
      </c>
      <c r="S570" s="8"/>
    </row>
    <row r="571" spans="1:19" x14ac:dyDescent="0.3">
      <c r="A571" s="9" t="e">
        <f>IF(C571="","",MAX($A$2:A570)+1)</f>
        <v>#REF!</v>
      </c>
      <c r="B571" s="17" t="s">
        <v>36</v>
      </c>
      <c r="C571" s="11">
        <v>46104</v>
      </c>
      <c r="D571" s="13" t="str">
        <f>_xlfn.XLOOKUP([1]!Table134526_79101120212223242526[[#This Row],[Name Surname]],[1]Manpower!$C$4:$C$1048576,[1]Manpower!$B$4:$B$1048576,"")</f>
        <v>Encogroup</v>
      </c>
      <c r="E571" s="13" t="s">
        <v>112</v>
      </c>
      <c r="F571" s="12">
        <f>_xlfn.XLOOKUP([1]!Table134526_79101120212223242526[[#This Row],[Name Surname]],[1]Manpower!C:C,[1]Manpower!D:D,)</f>
        <v>140806218</v>
      </c>
      <c r="G571" s="13" t="str">
        <f>_xlfn.XLOOKUP([1]!Table134526_79101120212223242526[[#This Row],[Name Surname]],[1]Manpower!$C$4:$C$1048576,[1]Manpower!$F$4:$F$1048576,"")</f>
        <v>Fitter/Erector</v>
      </c>
      <c r="H571" s="13" t="str">
        <f>_xlfn.XLOOKUP([1]!Table134526_79101120212223242526[[#This Row],[Name Surname]],[1]Manpower!$C$4:$C$1048576,[1]Manpower!$H$4:$H$1048576,"")</f>
        <v>Manpower</v>
      </c>
      <c r="I571" s="13" t="str">
        <f>_xlfn.XLOOKUP([1]!Table134526_79101120212223242526[[#This Row],[Name Surname]],[1]Manpower!$C$4:$C$1048576,[1]Manpower!$H$4:$H$1048576,"")</f>
        <v>Manpower</v>
      </c>
      <c r="J571" s="13" t="s">
        <v>38</v>
      </c>
      <c r="K571" s="13" t="s">
        <v>7</v>
      </c>
      <c r="L571" s="13" t="s">
        <v>39</v>
      </c>
      <c r="M571" s="13" t="s">
        <v>18</v>
      </c>
      <c r="N571" s="14">
        <v>5</v>
      </c>
      <c r="O571" s="13"/>
      <c r="P571" s="13"/>
      <c r="Q571" s="13"/>
      <c r="R571" s="13" t="s">
        <v>19</v>
      </c>
      <c r="S571" s="15"/>
    </row>
    <row r="572" spans="1:19" x14ac:dyDescent="0.3">
      <c r="A572" s="1" t="e">
        <f>IF(C572="","",MAX($A$2:A571)+1)</f>
        <v>#REF!</v>
      </c>
      <c r="B572" s="17" t="s">
        <v>36</v>
      </c>
      <c r="C572" s="3">
        <v>46104</v>
      </c>
      <c r="D572" s="5" t="str">
        <f>_xlfn.XLOOKUP([1]!Table134526_79101120212223242526[[#This Row],[Name Surname]],[1]Manpower!$C$4:$C$1048576,[1]Manpower!$B$4:$B$1048576,"")</f>
        <v>Encogroup</v>
      </c>
      <c r="E572" s="3" t="s">
        <v>52</v>
      </c>
      <c r="F572" s="4">
        <f>_xlfn.XLOOKUP([1]!Table134526_79101120212223242526[[#This Row],[Name Surname]],[1]Manpower!C:C,[1]Manpower!D:D,)</f>
        <v>140844618</v>
      </c>
      <c r="G572" s="5" t="str">
        <f>_xlfn.XLOOKUP([1]!Table134526_79101120212223242526[[#This Row],[Name Surname]],[1]Manpower!$C$4:$C$1048576,[1]Manpower!$F$4:$F$1048576,"")</f>
        <v>Assistant/Helper</v>
      </c>
      <c r="H572" s="5" t="str">
        <f>_xlfn.XLOOKUP([1]!Table134526_79101120212223242526[[#This Row],[Name Surname]],[1]Manpower!$C$4:$C$1048576,[1]Manpower!$H$4:$H$1048576,"")</f>
        <v>Manpower</v>
      </c>
      <c r="I572" s="5" t="str">
        <f>_xlfn.XLOOKUP([1]!Table134526_79101120212223242526[[#This Row],[Name Surname]],[1]Manpower!$C$4:$C$1048576,[1]Manpower!$H$4:$H$1048576,"")</f>
        <v>Manpower</v>
      </c>
      <c r="J572" s="5" t="s">
        <v>38</v>
      </c>
      <c r="K572" s="5" t="s">
        <v>7</v>
      </c>
      <c r="L572" s="5" t="s">
        <v>39</v>
      </c>
      <c r="M572" s="5" t="s">
        <v>18</v>
      </c>
      <c r="N572" s="6">
        <v>5</v>
      </c>
      <c r="O572" s="5" t="s">
        <v>11</v>
      </c>
      <c r="P572" s="5" t="s">
        <v>13</v>
      </c>
      <c r="Q572" s="5" t="s">
        <v>13</v>
      </c>
      <c r="R572" s="5" t="s">
        <v>7</v>
      </c>
      <c r="S572" s="8"/>
    </row>
    <row r="573" spans="1:19" x14ac:dyDescent="0.3">
      <c r="A573" s="9" t="e">
        <f>IF(C573="","",MAX($A$2:A572)+1)</f>
        <v>#REF!</v>
      </c>
      <c r="B573" s="17" t="s">
        <v>36</v>
      </c>
      <c r="C573" s="11">
        <v>46104</v>
      </c>
      <c r="D573" s="13" t="str">
        <f>_xlfn.XLOOKUP([1]!Table134526_79101120212223242526[[#This Row],[Name Surname]],[1]Manpower!$C$4:$C$1048576,[1]Manpower!$B$4:$B$1048576,"")</f>
        <v>Bright Light</v>
      </c>
      <c r="E573" s="13" t="s">
        <v>53</v>
      </c>
      <c r="F573" s="12" t="e">
        <f>_xlfn.XLOOKUP([1]!Table134526_79101120212223242526[[#This Row],[Name Surname]],[1]Manpower!C:C,[1]Manpower!D:D,)</f>
        <v>#N/A</v>
      </c>
      <c r="G573" s="13" t="str">
        <f>_xlfn.XLOOKUP([1]!Table134526_79101120212223242526[[#This Row],[Name Surname]],[1]Manpower!$C$4:$C$1048576,[1]Manpower!$F$4:$F$1048576,"")</f>
        <v>100T Telescopic Crane</v>
      </c>
      <c r="H573" s="13" t="str">
        <f>_xlfn.XLOOKUP([1]!Table134526_79101120212223242526[[#This Row],[Name Surname]],[1]Manpower!$C$4:$C$1048576,[1]Manpower!$H$4:$H$1048576,"")</f>
        <v>Equipment</v>
      </c>
      <c r="I573" s="13" t="str">
        <f>_xlfn.XLOOKUP([1]!Table134526_79101120212223242526[[#This Row],[Name Surname]],[1]Manpower!$C$4:$C$1048576,[1]Manpower!$H$4:$H$1048576,"")</f>
        <v>Equipment</v>
      </c>
      <c r="J573" s="13" t="s">
        <v>38</v>
      </c>
      <c r="K573" s="13" t="s">
        <v>7</v>
      </c>
      <c r="L573" s="13" t="s">
        <v>39</v>
      </c>
      <c r="M573" s="13" t="s">
        <v>18</v>
      </c>
      <c r="N573" s="14">
        <v>5</v>
      </c>
      <c r="O573" s="13" t="s">
        <v>33</v>
      </c>
      <c r="P573" s="13" t="s">
        <v>33</v>
      </c>
      <c r="Q573" s="13" t="s">
        <v>33</v>
      </c>
      <c r="R573" s="13" t="s">
        <v>7</v>
      </c>
      <c r="S573" s="15"/>
    </row>
    <row r="574" spans="1:19" x14ac:dyDescent="0.3">
      <c r="A574" s="1" t="e">
        <f>IF(C574="","",MAX($A$2:A573)+1)</f>
        <v>#REF!</v>
      </c>
      <c r="B574" s="17" t="s">
        <v>36</v>
      </c>
      <c r="C574" s="3">
        <v>46104</v>
      </c>
      <c r="D574" s="5" t="str">
        <f>_xlfn.XLOOKUP([1]!Table134526_79101120212223242526[[#This Row],[Name Surname]],[1]Manpower!$C$4:$C$1048576,[1]Manpower!$B$4:$B$1048576,"")</f>
        <v>Bright Light</v>
      </c>
      <c r="E574" s="5" t="s">
        <v>54</v>
      </c>
      <c r="F574" s="4" t="e">
        <f>_xlfn.XLOOKUP([1]!Table134526_79101120212223242526[[#This Row],[Name Surname]],[1]Manpower!C:C,[1]Manpower!D:D,)</f>
        <v>#N/A</v>
      </c>
      <c r="G574" s="5" t="str">
        <f>_xlfn.XLOOKUP([1]!Table134526_79101120212223242526[[#This Row],[Name Surname]],[1]Manpower!$C$4:$C$1048576,[1]Manpower!$F$4:$F$1048576,"")</f>
        <v>150T-Crawler Crane</v>
      </c>
      <c r="H574" s="5" t="str">
        <f>_xlfn.XLOOKUP([1]!Table134526_79101120212223242526[[#This Row],[Name Surname]],[1]Manpower!$C$4:$C$1048576,[1]Manpower!$H$4:$H$1048576,"")</f>
        <v>Equipment</v>
      </c>
      <c r="I574" s="5" t="str">
        <f>_xlfn.XLOOKUP([1]!Table134526_79101120212223242526[[#This Row],[Name Surname]],[1]Manpower!$C$4:$C$1048576,[1]Manpower!$H$4:$H$1048576,"")</f>
        <v>Equipment</v>
      </c>
      <c r="J574" s="5" t="s">
        <v>38</v>
      </c>
      <c r="K574" s="5" t="s">
        <v>7</v>
      </c>
      <c r="L574" s="5" t="s">
        <v>39</v>
      </c>
      <c r="M574" s="5" t="s">
        <v>18</v>
      </c>
      <c r="N574" s="6">
        <v>5</v>
      </c>
      <c r="O574" s="5" t="s">
        <v>33</v>
      </c>
      <c r="P574" s="5" t="s">
        <v>33</v>
      </c>
      <c r="Q574" s="5" t="s">
        <v>33</v>
      </c>
      <c r="R574" s="5" t="s">
        <v>7</v>
      </c>
      <c r="S574" s="8"/>
    </row>
    <row r="575" spans="1:19" x14ac:dyDescent="0.3">
      <c r="A575" s="9" t="e">
        <f>IF(C575="","",MAX($A$2:A574)+1)</f>
        <v>#REF!</v>
      </c>
      <c r="B575" s="17" t="s">
        <v>36</v>
      </c>
      <c r="C575" s="11">
        <v>46104</v>
      </c>
      <c r="D575" s="13" t="str">
        <f>_xlfn.XLOOKUP([1]!Table134526_79101120212223242526[[#This Row],[Name Surname]],[1]Manpower!$C$4:$C$1048576,[1]Manpower!$B$4:$B$1048576,"")</f>
        <v>Encogroup</v>
      </c>
      <c r="E575" s="13" t="s">
        <v>55</v>
      </c>
      <c r="F575" s="12" t="e">
        <f>_xlfn.XLOOKUP([1]!Table134526_79101120212223242526[[#This Row],[Name Surname]],[1]Manpower!C:C,[1]Manpower!D:D,)</f>
        <v>#N/A</v>
      </c>
      <c r="G575" s="13" t="str">
        <f>_xlfn.XLOOKUP([1]!Table134526_79101120212223242526[[#This Row],[Name Surname]],[1]Manpower!$C$4:$C$1048576,[1]Manpower!$F$4:$F$1048576,"")</f>
        <v>22M-Manlift</v>
      </c>
      <c r="H575" s="13" t="str">
        <f>_xlfn.XLOOKUP([1]!Table134526_79101120212223242526[[#This Row],[Name Surname]],[1]Manpower!$C$4:$C$1048576,[1]Manpower!$H$4:$H$1048576,"")</f>
        <v>Equipment</v>
      </c>
      <c r="I575" s="13" t="str">
        <f>_xlfn.XLOOKUP([1]!Table134526_79101120212223242526[[#This Row],[Name Surname]],[1]Manpower!$C$4:$C$1048576,[1]Manpower!$H$4:$H$1048576,"")</f>
        <v>Equipment</v>
      </c>
      <c r="J575" s="13" t="s">
        <v>38</v>
      </c>
      <c r="K575" s="13" t="s">
        <v>7</v>
      </c>
      <c r="L575" s="13" t="s">
        <v>39</v>
      </c>
      <c r="M575" s="13" t="s">
        <v>18</v>
      </c>
      <c r="N575" s="14">
        <v>5</v>
      </c>
      <c r="O575" s="13" t="s">
        <v>33</v>
      </c>
      <c r="P575" s="13" t="s">
        <v>33</v>
      </c>
      <c r="Q575" s="13" t="s">
        <v>33</v>
      </c>
      <c r="R575" s="13" t="s">
        <v>7</v>
      </c>
      <c r="S575" s="15"/>
    </row>
    <row r="576" spans="1:19" x14ac:dyDescent="0.3">
      <c r="A576" s="1" t="e">
        <f>IF(C576="","",MAX($A$2:A575)+1)</f>
        <v>#REF!</v>
      </c>
      <c r="B576" s="17" t="s">
        <v>36</v>
      </c>
      <c r="C576" s="3">
        <v>46104</v>
      </c>
      <c r="D576" s="5" t="str">
        <f>_xlfn.XLOOKUP([1]!Table134526_79101120212223242526[[#This Row],[Name Surname]],[1]Manpower!$C$4:$C$1048576,[1]Manpower!$B$4:$B$1048576,"")</f>
        <v>Encogroup</v>
      </c>
      <c r="E576" s="5" t="s">
        <v>56</v>
      </c>
      <c r="F576" s="4" t="e">
        <f>_xlfn.XLOOKUP([1]!Table134526_79101120212223242526[[#This Row],[Name Surname]],[1]Manpower!C:C,[1]Manpower!D:D,)</f>
        <v>#N/A</v>
      </c>
      <c r="G576" s="5" t="str">
        <f>_xlfn.XLOOKUP([1]!Table134526_79101120212223242526[[#This Row],[Name Surname]],[1]Manpower!$C$4:$C$1048576,[1]Manpower!$F$4:$F$1048576,"")</f>
        <v>28M-Manlift</v>
      </c>
      <c r="H576" s="5" t="str">
        <f>_xlfn.XLOOKUP([1]!Table134526_79101120212223242526[[#This Row],[Name Surname]],[1]Manpower!$C$4:$C$1048576,[1]Manpower!$H$4:$H$1048576,"")</f>
        <v>Equipment</v>
      </c>
      <c r="I576" s="5" t="str">
        <f>_xlfn.XLOOKUP([1]!Table134526_79101120212223242526[[#This Row],[Name Surname]],[1]Manpower!$C$4:$C$1048576,[1]Manpower!$H$4:$H$1048576,"")</f>
        <v>Equipment</v>
      </c>
      <c r="J576" s="5" t="s">
        <v>38</v>
      </c>
      <c r="K576" s="5" t="s">
        <v>7</v>
      </c>
      <c r="L576" s="5" t="s">
        <v>39</v>
      </c>
      <c r="M576" s="5" t="s">
        <v>18</v>
      </c>
      <c r="N576" s="6">
        <v>5</v>
      </c>
      <c r="O576" s="5" t="s">
        <v>33</v>
      </c>
      <c r="P576" s="5" t="s">
        <v>33</v>
      </c>
      <c r="Q576" s="5" t="s">
        <v>33</v>
      </c>
      <c r="R576" s="5" t="s">
        <v>7</v>
      </c>
      <c r="S576" s="8"/>
    </row>
    <row r="577" spans="1:19" x14ac:dyDescent="0.3">
      <c r="A577" s="9" t="e">
        <f>IF(C577="","",MAX($A$2:A576)+1)</f>
        <v>#REF!</v>
      </c>
      <c r="B577" s="17" t="s">
        <v>36</v>
      </c>
      <c r="C577" s="11">
        <v>46104</v>
      </c>
      <c r="D577" s="13" t="str">
        <f>_xlfn.XLOOKUP([1]!Table134526_79101120212223242526[[#This Row],[Name Surname]],[1]Manpower!$C$4:$C$1048576,[1]Manpower!$B$4:$B$1048576,"")</f>
        <v>Encogroup</v>
      </c>
      <c r="E577" s="13" t="s">
        <v>111</v>
      </c>
      <c r="F577" s="12">
        <f>_xlfn.XLOOKUP([1]!Table134526_79101120212223242526[[#This Row],[Name Surname]],[1]Manpower!C:C,[1]Manpower!D:D,)</f>
        <v>140693697</v>
      </c>
      <c r="G577" s="13" t="str">
        <f>_xlfn.XLOOKUP([1]!Table134526_79101120212223242526[[#This Row],[Name Surname]],[1]Manpower!$C$4:$C$1048576,[1]Manpower!$F$4:$F$1048576,"")</f>
        <v>HSE Officer</v>
      </c>
      <c r="H577" s="13" t="str">
        <f>_xlfn.XLOOKUP([1]!Table134526_79101120212223242526[[#This Row],[Name Surname]],[1]Manpower!$C$4:$C$1048576,[1]Manpower!$H$4:$H$1048576,"")</f>
        <v>Manpower</v>
      </c>
      <c r="I577" s="13" t="str">
        <f>_xlfn.XLOOKUP([1]!Table134526_79101120212223242526[[#This Row],[Name Surname]],[1]Manpower!$C$4:$C$1048576,[1]Manpower!$H$4:$H$1048576,"")</f>
        <v>Manpower</v>
      </c>
      <c r="J577" s="13" t="s">
        <v>38</v>
      </c>
      <c r="K577" s="13" t="s">
        <v>7</v>
      </c>
      <c r="L577" s="13" t="s">
        <v>39</v>
      </c>
      <c r="M577" s="13" t="s">
        <v>18</v>
      </c>
      <c r="N577" s="14">
        <v>10</v>
      </c>
      <c r="O577" s="13"/>
      <c r="P577" s="13"/>
      <c r="Q577" s="13"/>
      <c r="R577" s="13" t="s">
        <v>19</v>
      </c>
      <c r="S577" s="15"/>
    </row>
    <row r="578" spans="1:19" x14ac:dyDescent="0.3">
      <c r="A578" s="1" t="e">
        <f>IF(C578="","",MAX($A$2:A576)+1)</f>
        <v>#REF!</v>
      </c>
      <c r="B578" s="17" t="s">
        <v>36</v>
      </c>
      <c r="C578" s="3">
        <v>46104</v>
      </c>
      <c r="D578" s="5" t="str">
        <f>_xlfn.XLOOKUP([1]!Table134526_79101120212223242526[[#This Row],[Name Surname]],[1]Manpower!$C$4:$C$1048576,[1]Manpower!$B$4:$B$1048576,"")</f>
        <v>Encogroup</v>
      </c>
      <c r="E578" s="5" t="s">
        <v>112</v>
      </c>
      <c r="F578" s="4">
        <f>_xlfn.XLOOKUP([1]!Table134526_79101120212223242526[[#This Row],[Name Surname]],[1]Manpower!C:C,[1]Manpower!D:D,)</f>
        <v>127414586</v>
      </c>
      <c r="G578" s="5" t="str">
        <f>_xlfn.XLOOKUP([1]!Table134526_79101120212223242526[[#This Row],[Name Surname]],[1]Manpower!$C$4:$C$1048576,[1]Manpower!$F$4:$F$1048576,"")</f>
        <v>Electrician</v>
      </c>
      <c r="H578" s="5" t="str">
        <f>_xlfn.XLOOKUP([1]!Table134526_79101120212223242526[[#This Row],[Name Surname]],[1]Manpower!$C$4:$C$1048576,[1]Manpower!$H$4:$H$1048576,"")</f>
        <v>Manpower</v>
      </c>
      <c r="I578" s="5" t="str">
        <f>_xlfn.XLOOKUP([1]!Table134526_79101120212223242526[[#This Row],[Name Surname]],[1]Manpower!$C$4:$C$1048576,[1]Manpower!$H$4:$H$1048576,"")</f>
        <v>Manpower</v>
      </c>
      <c r="J578" s="5" t="s">
        <v>38</v>
      </c>
      <c r="K578" s="5" t="s">
        <v>7</v>
      </c>
      <c r="L578" s="5" t="s">
        <v>39</v>
      </c>
      <c r="M578" s="5" t="s">
        <v>18</v>
      </c>
      <c r="N578" s="6">
        <v>10</v>
      </c>
      <c r="O578" s="5"/>
      <c r="P578" s="5"/>
      <c r="Q578" s="5"/>
      <c r="R578" s="5" t="s">
        <v>19</v>
      </c>
      <c r="S578" s="8"/>
    </row>
    <row r="579" spans="1:19" x14ac:dyDescent="0.3">
      <c r="A579" s="9" t="e">
        <f>IF(C579="","",MAX($A$2:A576)+1)</f>
        <v>#REF!</v>
      </c>
      <c r="B579" s="17" t="s">
        <v>36</v>
      </c>
      <c r="C579" s="11">
        <v>46104</v>
      </c>
      <c r="D579" s="13" t="str">
        <f>_xlfn.XLOOKUP([1]!Table134526_79101120212223242526[[#This Row],[Name Surname]],[1]Manpower!$C$4:$C$1048576,[1]Manpower!$B$4:$B$1048576,"")</f>
        <v>Encogroup</v>
      </c>
      <c r="E579" s="13" t="s">
        <v>123</v>
      </c>
      <c r="F579" s="12">
        <f>_xlfn.XLOOKUP([1]!Table134526_79101120212223242526[[#This Row],[Name Surname]],[1]Manpower!C:C,[1]Manpower!D:D,)</f>
        <v>141169085</v>
      </c>
      <c r="G579" s="13" t="str">
        <f>_xlfn.XLOOKUP([1]!Table134526_79101120212223242526[[#This Row],[Name Surname]],[1]Manpower!$C$4:$C$1048576,[1]Manpower!$F$4:$F$1048576,"")</f>
        <v>Welder</v>
      </c>
      <c r="H579" s="13" t="str">
        <f>_xlfn.XLOOKUP([1]!Table134526_79101120212223242526[[#This Row],[Name Surname]],[1]Manpower!$C$4:$C$1048576,[1]Manpower!$H$4:$H$1048576,"")</f>
        <v>Manpower</v>
      </c>
      <c r="I579" s="13" t="str">
        <f>_xlfn.XLOOKUP([1]!Table134526_79101120212223242526[[#This Row],[Name Surname]],[1]Manpower!$C$4:$C$1048576,[1]Manpower!$H$4:$H$1048576,"")</f>
        <v>Manpower</v>
      </c>
      <c r="J579" s="13" t="s">
        <v>38</v>
      </c>
      <c r="K579" s="13" t="s">
        <v>7</v>
      </c>
      <c r="L579" s="13" t="s">
        <v>39</v>
      </c>
      <c r="M579" s="13" t="s">
        <v>5</v>
      </c>
      <c r="N579" s="14">
        <v>10</v>
      </c>
      <c r="O579" s="13" t="s">
        <v>11</v>
      </c>
      <c r="P579" s="13" t="s">
        <v>13</v>
      </c>
      <c r="Q579" s="13" t="s">
        <v>13</v>
      </c>
      <c r="R579" s="13" t="s">
        <v>7</v>
      </c>
      <c r="S579" s="15"/>
    </row>
    <row r="580" spans="1:19" x14ac:dyDescent="0.3">
      <c r="A580" s="1" t="e">
        <f>IF(C580="","",MAX($A$2:A575)+1)</f>
        <v>#REF!</v>
      </c>
      <c r="B580" s="17" t="s">
        <v>36</v>
      </c>
      <c r="C580" s="3">
        <v>46104</v>
      </c>
      <c r="D580" s="5" t="str">
        <f>_xlfn.XLOOKUP([1]!Table134526_79101120212223242526[[#This Row],[Name Surname]],[1]Manpower!$C$4:$C$1048576,[1]Manpower!$B$4:$B$1048576,"")</f>
        <v>Encogroup</v>
      </c>
      <c r="E580" s="5" t="s">
        <v>57</v>
      </c>
      <c r="F580" s="4">
        <f>_xlfn.XLOOKUP([1]!Table134526_79101120212223242526[[#This Row],[Name Surname]],[1]Manpower!C:C,[1]Manpower!D:D,)</f>
        <v>141169047</v>
      </c>
      <c r="G580" s="5" t="str">
        <f>_xlfn.XLOOKUP([1]!Table134526_79101120212223242526[[#This Row],[Name Surname]],[1]Manpower!$C$4:$C$1048576,[1]Manpower!$F$4:$F$1048576,"")</f>
        <v>Welder</v>
      </c>
      <c r="H580" s="5" t="str">
        <f>_xlfn.XLOOKUP([1]!Table134526_79101120212223242526[[#This Row],[Name Surname]],[1]Manpower!$C$4:$C$1048576,[1]Manpower!$H$4:$H$1048576,"")</f>
        <v>Manpower</v>
      </c>
      <c r="I580" s="5" t="str">
        <f>_xlfn.XLOOKUP([1]!Table134526_79101120212223242526[[#This Row],[Name Surname]],[1]Manpower!$C$4:$C$1048576,[1]Manpower!$H$4:$H$1048576,"")</f>
        <v>Manpower</v>
      </c>
      <c r="J580" s="5" t="s">
        <v>38</v>
      </c>
      <c r="K580" s="5" t="s">
        <v>7</v>
      </c>
      <c r="L580" s="5" t="s">
        <v>39</v>
      </c>
      <c r="M580" s="5" t="s">
        <v>18</v>
      </c>
      <c r="N580" s="6">
        <v>5</v>
      </c>
      <c r="O580" s="5"/>
      <c r="P580" s="5"/>
      <c r="Q580" s="5"/>
      <c r="R580" s="5" t="s">
        <v>7</v>
      </c>
      <c r="S580" s="8"/>
    </row>
    <row r="581" spans="1:19" x14ac:dyDescent="0.3">
      <c r="A581" s="9" t="e">
        <f>IF(C581="","",MAX($A$2:A580)+1)</f>
        <v>#REF!</v>
      </c>
      <c r="B581" s="17" t="s">
        <v>36</v>
      </c>
      <c r="C581" s="11">
        <v>46104</v>
      </c>
      <c r="D581" s="13" t="str">
        <f>_xlfn.XLOOKUP([1]!Table134526_79101120212223242526[[#This Row],[Name Surname]],[1]Manpower!$C$4:$C$1048576,[1]Manpower!$B$4:$B$1048576,"")</f>
        <v>Encogroup</v>
      </c>
      <c r="E581" s="11" t="s">
        <v>58</v>
      </c>
      <c r="F581" s="12">
        <f>_xlfn.XLOOKUP([1]!Table134526_79101120212223242526[[#This Row],[Name Surname]],[1]Manpower!C:C,[1]Manpower!D:D,)</f>
        <v>140844797</v>
      </c>
      <c r="G581" s="13" t="str">
        <f>_xlfn.XLOOKUP([1]!Table134526_79101120212223242526[[#This Row],[Name Surname]],[1]Manpower!$C$4:$C$1048576,[1]Manpower!$F$4:$F$1048576,"")</f>
        <v>Fitter/Erector</v>
      </c>
      <c r="H581" s="13" t="str">
        <f>_xlfn.XLOOKUP([1]!Table134526_79101120212223242526[[#This Row],[Name Surname]],[1]Manpower!$C$4:$C$1048576,[1]Manpower!$H$4:$H$1048576,"")</f>
        <v>Manpower</v>
      </c>
      <c r="I581" s="13" t="str">
        <f>_xlfn.XLOOKUP([1]!Table134526_79101120212223242526[[#This Row],[Name Surname]],[1]Manpower!$C$4:$C$1048576,[1]Manpower!$H$4:$H$1048576,"")</f>
        <v>Manpower</v>
      </c>
      <c r="J581" s="13" t="s">
        <v>38</v>
      </c>
      <c r="K581" s="13" t="s">
        <v>7</v>
      </c>
      <c r="L581" s="13" t="s">
        <v>39</v>
      </c>
      <c r="M581" s="13" t="s">
        <v>18</v>
      </c>
      <c r="N581" s="14">
        <v>5</v>
      </c>
      <c r="O581" s="13"/>
      <c r="P581" s="13"/>
      <c r="Q581" s="13"/>
      <c r="R581" s="13" t="s">
        <v>19</v>
      </c>
      <c r="S581" s="15"/>
    </row>
    <row r="582" spans="1:19" x14ac:dyDescent="0.3">
      <c r="A582" s="1" t="e">
        <f>IF(C582="","",MAX($A$2:A581)+1)</f>
        <v>#REF!</v>
      </c>
      <c r="B582" s="17" t="s">
        <v>36</v>
      </c>
      <c r="C582" s="3">
        <v>46104</v>
      </c>
      <c r="D582" s="5" t="str">
        <f>_xlfn.XLOOKUP([1]!Table134526_79101120212223242526[[#This Row],[Name Surname]],[1]Manpower!$C$4:$C$1048576,[1]Manpower!$B$4:$B$1048576,"")</f>
        <v>Encogroup</v>
      </c>
      <c r="E582" s="3" t="s">
        <v>59</v>
      </c>
      <c r="F582" s="4" t="e">
        <f>_xlfn.XLOOKUP([1]!Table134526_79101120212223242526[[#This Row],[Name Surname]],[1]Manpower!C:C,[1]Manpower!D:D,)</f>
        <v>#N/A</v>
      </c>
      <c r="G582" s="5" t="str">
        <f>_xlfn.XLOOKUP([1]!Table134526_79101120212223242526[[#This Row],[Name Surname]],[1]Manpower!$C$4:$C$1048576,[1]Manpower!$F$4:$F$1048576,"")</f>
        <v>22KVA-Generator</v>
      </c>
      <c r="H582" s="5" t="str">
        <f>_xlfn.XLOOKUP([1]!Table134526_79101120212223242526[[#This Row],[Name Surname]],[1]Manpower!$C$4:$C$1048576,[1]Manpower!$H$4:$H$1048576,"")</f>
        <v>Equipment</v>
      </c>
      <c r="I582" s="5" t="str">
        <f>_xlfn.XLOOKUP([1]!Table134526_79101120212223242526[[#This Row],[Name Surname]],[1]Manpower!$C$4:$C$1048576,[1]Manpower!$H$4:$H$1048576,"")</f>
        <v>Equipment</v>
      </c>
      <c r="J582" s="5" t="s">
        <v>38</v>
      </c>
      <c r="K582" s="5" t="s">
        <v>7</v>
      </c>
      <c r="L582" s="5" t="s">
        <v>39</v>
      </c>
      <c r="M582" s="5" t="s">
        <v>18</v>
      </c>
      <c r="N582" s="6">
        <v>5</v>
      </c>
      <c r="O582" s="5"/>
      <c r="P582" s="5"/>
      <c r="Q582" s="5"/>
      <c r="R582" s="5" t="s">
        <v>19</v>
      </c>
      <c r="S582" s="8"/>
    </row>
    <row r="583" spans="1:19" x14ac:dyDescent="0.3">
      <c r="A583" s="28" t="e">
        <f>IF(C583="","",MAX($A$2:A582)+1)</f>
        <v>#REF!</v>
      </c>
      <c r="B583" s="2" t="s">
        <v>0</v>
      </c>
      <c r="C583" s="11">
        <v>46105</v>
      </c>
      <c r="D583" s="13" t="str">
        <f>_xlfn.XLOOKUP([1]!Table134526_79101120212223242526[[#This Row],[Name Surname]],[1]Manpower!$C$4:$C$1048576,[1]Manpower!$B$4:$B$1048576,"")</f>
        <v>Bright Light</v>
      </c>
      <c r="E583" s="13" t="s">
        <v>129</v>
      </c>
      <c r="F583" s="12">
        <f>_xlfn.XLOOKUP([1]!Table134526_79101120212223242526[[#This Row],[Name Surname]],[1]Manpower!C:C,[1]Manpower!D:D,)</f>
        <v>114531608</v>
      </c>
      <c r="G583" s="13" t="str">
        <f>_xlfn.XLOOKUP([1]!Table134526_79101120212223242526[[#This Row],[Name Surname]],[1]Manpower!$C$4:$C$1048576,[1]Manpower!$F$4:$F$1048576,"")</f>
        <v>Crane Operator-150T Sany Crawler</v>
      </c>
      <c r="H583" s="13" t="str">
        <f>_xlfn.XLOOKUP([1]!Table134526_79101120212223242526[[#This Row],[Name Surname]],[1]Manpower!$C$4:$C$1048576,[1]Manpower!$H$4:$H$1048576,"")</f>
        <v>Manpower</v>
      </c>
      <c r="I583" s="13" t="str">
        <f>_xlfn.XLOOKUP([1]!Table134526_79101120212223242526[[#This Row],[Name Surname]],[1]Manpower!$C$4:$C$1048576,[1]Manpower!$H$4:$H$1048576,"")</f>
        <v>Manpower</v>
      </c>
      <c r="J583" s="13" t="s">
        <v>2</v>
      </c>
      <c r="K583" s="13" t="s">
        <v>39</v>
      </c>
      <c r="L583" s="13" t="s">
        <v>10</v>
      </c>
      <c r="M583" s="13" t="s">
        <v>5</v>
      </c>
      <c r="N583" s="14">
        <v>10</v>
      </c>
      <c r="O583" s="13" t="s">
        <v>11</v>
      </c>
      <c r="P583" s="13" t="s">
        <v>12</v>
      </c>
      <c r="Q583" s="13" t="s">
        <v>13</v>
      </c>
      <c r="R583" s="13" t="s">
        <v>144</v>
      </c>
      <c r="S583" s="15"/>
    </row>
    <row r="584" spans="1:19" x14ac:dyDescent="0.3">
      <c r="A584" s="29" t="e">
        <f>IF(C584="","",MAX($A$2:A583)+1)</f>
        <v>#REF!</v>
      </c>
      <c r="B584" s="2" t="s">
        <v>0</v>
      </c>
      <c r="C584" s="3">
        <v>46105</v>
      </c>
      <c r="D584" s="5" t="str">
        <f>_xlfn.XLOOKUP([1]!Table134526_79101120212223242526[[#This Row],[Name Surname]],[1]Manpower!$C$4:$C$1048576,[1]Manpower!$B$4:$B$1048576,"")</f>
        <v>AL Saif &amp; Al QALLM ENT LLC</v>
      </c>
      <c r="E584" s="5" t="s">
        <v>1</v>
      </c>
      <c r="F584" s="4">
        <f>_xlfn.XLOOKUP([1]!Table134526_79101120212223242526[[#This Row],[Name Surname]],[1]Manpower!C:C,[1]Manpower!D:D,)</f>
        <v>108478006</v>
      </c>
      <c r="G584" s="5" t="str">
        <f>_xlfn.XLOOKUP([1]!Table134526_79101120212223242526[[#This Row],[Name Surname]],[1]Manpower!$C$4:$C$1048576,[1]Manpower!$F$4:$F$1048576,"")</f>
        <v>RIgger</v>
      </c>
      <c r="H584" s="5" t="str">
        <f>_xlfn.XLOOKUP([1]!Table134526_79101120212223242526[[#This Row],[Name Surname]],[1]Manpower!$C$4:$C$1048576,[1]Manpower!$H$4:$H$1048576,"")</f>
        <v>Sub Contactor</v>
      </c>
      <c r="I584" s="5" t="str">
        <f>_xlfn.XLOOKUP([1]!Table134526_79101120212223242526[[#This Row],[Name Surname]],[1]Manpower!$C$4:$C$1048576,[1]Manpower!$H$4:$H$1048576,"")</f>
        <v>Sub Contactor</v>
      </c>
      <c r="J584" s="5" t="s">
        <v>2</v>
      </c>
      <c r="K584" s="5" t="s">
        <v>39</v>
      </c>
      <c r="L584" s="5" t="s">
        <v>10</v>
      </c>
      <c r="M584" s="5" t="s">
        <v>5</v>
      </c>
      <c r="N584" s="6">
        <v>5</v>
      </c>
      <c r="O584" s="5" t="s">
        <v>11</v>
      </c>
      <c r="P584" s="5" t="s">
        <v>12</v>
      </c>
      <c r="Q584" s="5" t="s">
        <v>13</v>
      </c>
      <c r="R584" s="5" t="s">
        <v>144</v>
      </c>
      <c r="S584" s="8"/>
    </row>
    <row r="585" spans="1:19" x14ac:dyDescent="0.3">
      <c r="A585" s="28" t="e">
        <f>IF(C585="","",MAX($A$2:A584)+1)</f>
        <v>#REF!</v>
      </c>
      <c r="B585" s="2" t="s">
        <v>0</v>
      </c>
      <c r="C585" s="11">
        <v>46105</v>
      </c>
      <c r="D585" s="13" t="str">
        <f>_xlfn.XLOOKUP([1]!Table134526_79101120212223242526[[#This Row],[Name Surname]],[1]Manpower!$C$4:$C$1048576,[1]Manpower!$B$4:$B$1048576,"")</f>
        <v>AL Omar International TRAD AND CONT</v>
      </c>
      <c r="E585" s="13" t="s">
        <v>46</v>
      </c>
      <c r="F585" s="12">
        <f>_xlfn.XLOOKUP([1]!Table134526_79101120212223242526[[#This Row],[Name Surname]],[1]Manpower!C:C,[1]Manpower!D:D,)</f>
        <v>115018512</v>
      </c>
      <c r="G585" s="13" t="str">
        <f>_xlfn.XLOOKUP([1]!Table134526_79101120212223242526[[#This Row],[Name Surname]],[1]Manpower!$C$4:$C$1048576,[1]Manpower!$F$4:$F$1048576,"")</f>
        <v>RIgger</v>
      </c>
      <c r="H585" s="13" t="str">
        <f>_xlfn.XLOOKUP([1]!Table134526_79101120212223242526[[#This Row],[Name Surname]],[1]Manpower!$C$4:$C$1048576,[1]Manpower!$H$4:$H$1048576,"")</f>
        <v>Sub Contactor</v>
      </c>
      <c r="I585" s="13" t="str">
        <f>_xlfn.XLOOKUP([1]!Table134526_79101120212223242526[[#This Row],[Name Surname]],[1]Manpower!$C$4:$C$1048576,[1]Manpower!$H$4:$H$1048576,"")</f>
        <v>Sub Contactor</v>
      </c>
      <c r="J585" s="13" t="s">
        <v>2</v>
      </c>
      <c r="K585" s="13" t="s">
        <v>39</v>
      </c>
      <c r="L585" s="13" t="s">
        <v>10</v>
      </c>
      <c r="M585" s="13" t="s">
        <v>5</v>
      </c>
      <c r="N585" s="14">
        <v>10</v>
      </c>
      <c r="O585" s="13" t="s">
        <v>11</v>
      </c>
      <c r="P585" s="13" t="s">
        <v>12</v>
      </c>
      <c r="Q585" s="13" t="s">
        <v>13</v>
      </c>
      <c r="R585" s="13" t="s">
        <v>144</v>
      </c>
      <c r="S585" s="15"/>
    </row>
    <row r="586" spans="1:19" x14ac:dyDescent="0.3">
      <c r="A586" s="29" t="e">
        <f>IF(C586="","",MAX($A$2:A585)+1)</f>
        <v>#REF!</v>
      </c>
      <c r="B586" s="10" t="s">
        <v>0</v>
      </c>
      <c r="C586" s="3">
        <v>46105</v>
      </c>
      <c r="D586" s="5" t="str">
        <f>_xlfn.XLOOKUP([1]!Table134526_79101120212223242526[[#This Row],[Name Surname]],[1]Manpower!$C$4:$C$1048576,[1]Manpower!$B$4:$B$1048576,"")</f>
        <v>Encogroup</v>
      </c>
      <c r="E586" s="3" t="s">
        <v>61</v>
      </c>
      <c r="F586" s="4">
        <f>_xlfn.XLOOKUP([1]!Table134526_79101120212223242526[[#This Row],[Name Surname]],[1]Manpower!C:C,[1]Manpower!D:D,)</f>
        <v>122082769</v>
      </c>
      <c r="G586" s="5" t="str">
        <f>_xlfn.XLOOKUP([1]!Table134526_79101120212223242526[[#This Row],[Name Surname]],[1]Manpower!$C$4:$C$1048576,[1]Manpower!$F$4:$F$1048576,"")</f>
        <v>Grinder</v>
      </c>
      <c r="H586" s="5" t="str">
        <f>_xlfn.XLOOKUP([1]!Table134526_79101120212223242526[[#This Row],[Name Surname]],[1]Manpower!$C$4:$C$1048576,[1]Manpower!$H$4:$H$1048576,"")</f>
        <v>Manpower</v>
      </c>
      <c r="I586" s="5" t="str">
        <f>_xlfn.XLOOKUP([1]!Table134526_79101120212223242526[[#This Row],[Name Surname]],[1]Manpower!$C$4:$C$1048576,[1]Manpower!$H$4:$H$1048576,"")</f>
        <v>Manpower</v>
      </c>
      <c r="J586" s="5" t="s">
        <v>9</v>
      </c>
      <c r="K586" s="5" t="s">
        <v>7</v>
      </c>
      <c r="L586" s="5" t="s">
        <v>10</v>
      </c>
      <c r="M586" s="5" t="s">
        <v>5</v>
      </c>
      <c r="N586" s="6">
        <v>10</v>
      </c>
      <c r="O586" s="5" t="s">
        <v>11</v>
      </c>
      <c r="P586" s="5" t="s">
        <v>12</v>
      </c>
      <c r="Q586" s="5" t="s">
        <v>13</v>
      </c>
      <c r="R586" s="5" t="s">
        <v>145</v>
      </c>
      <c r="S586" s="8"/>
    </row>
    <row r="587" spans="1:19" x14ac:dyDescent="0.3">
      <c r="A587" s="28" t="e">
        <f>IF(C587="","",MAX($A$2:A586)+1)</f>
        <v>#REF!</v>
      </c>
      <c r="B587" s="10" t="s">
        <v>0</v>
      </c>
      <c r="C587" s="11">
        <v>46105</v>
      </c>
      <c r="D587" s="13" t="str">
        <f>_xlfn.XLOOKUP([1]!Table134526_79101120212223242526[[#This Row],[Name Surname]],[1]Manpower!$C$4:$C$1048576,[1]Manpower!$B$4:$B$1048576,"")</f>
        <v>Encogroup</v>
      </c>
      <c r="E587" s="13" t="s">
        <v>8</v>
      </c>
      <c r="F587" s="12">
        <f>_xlfn.XLOOKUP([1]!Table134526_79101120212223242526[[#This Row],[Name Surname]],[1]Manpower!C:C,[1]Manpower!D:D,)</f>
        <v>116915582</v>
      </c>
      <c r="G587" s="13" t="str">
        <f>_xlfn.XLOOKUP([1]!Table134526_79101120212223242526[[#This Row],[Name Surname]],[1]Manpower!$C$4:$C$1048576,[1]Manpower!$F$4:$F$1048576,"")</f>
        <v>Mechanical Superintendent</v>
      </c>
      <c r="H587" s="13" t="str">
        <f>_xlfn.XLOOKUP([1]!Table134526_79101120212223242526[[#This Row],[Name Surname]],[1]Manpower!$C$4:$C$1048576,[1]Manpower!$H$4:$H$1048576,"")</f>
        <v>Manpower</v>
      </c>
      <c r="I587" s="13" t="str">
        <f>_xlfn.XLOOKUP([1]!Table134526_79101120212223242526[[#This Row],[Name Surname]],[1]Manpower!$C$4:$C$1048576,[1]Manpower!$H$4:$H$1048576,"")</f>
        <v>Manpower</v>
      </c>
      <c r="J587" s="13" t="s">
        <v>9</v>
      </c>
      <c r="K587" s="13" t="s">
        <v>7</v>
      </c>
      <c r="L587" s="13" t="s">
        <v>10</v>
      </c>
      <c r="M587" s="13" t="s">
        <v>5</v>
      </c>
      <c r="N587" s="14">
        <v>10</v>
      </c>
      <c r="O587" s="13" t="s">
        <v>11</v>
      </c>
      <c r="P587" s="13" t="s">
        <v>12</v>
      </c>
      <c r="Q587" s="13" t="s">
        <v>13</v>
      </c>
      <c r="R587" s="13" t="s">
        <v>145</v>
      </c>
      <c r="S587" s="15"/>
    </row>
    <row r="588" spans="1:19" x14ac:dyDescent="0.3">
      <c r="A588" s="29" t="e">
        <f>IF(C588="","",MAX($A$2:A587)+1)</f>
        <v>#REF!</v>
      </c>
      <c r="B588" s="10" t="s">
        <v>0</v>
      </c>
      <c r="C588" s="3">
        <v>46105</v>
      </c>
      <c r="D588" s="5" t="str">
        <f>_xlfn.XLOOKUP([1]!Table134526_79101120212223242526[[#This Row],[Name Surname]],[1]Manpower!$C$4:$C$1048576,[1]Manpower!$B$4:$B$1048576,"")</f>
        <v>Encogroup</v>
      </c>
      <c r="E588" s="5" t="s">
        <v>17</v>
      </c>
      <c r="F588" s="4">
        <f>_xlfn.XLOOKUP([1]!Table134526_79101120212223242526[[#This Row],[Name Surname]],[1]Manpower!C:C,[1]Manpower!D:D,)</f>
        <v>141169071</v>
      </c>
      <c r="G588" s="5" t="str">
        <f>_xlfn.XLOOKUP([1]!Table134526_79101120212223242526[[#This Row],[Name Surname]],[1]Manpower!$C$4:$C$1048576,[1]Manpower!$F$4:$F$1048576,"")</f>
        <v>Welding Supervisor</v>
      </c>
      <c r="H588" s="5" t="str">
        <f>_xlfn.XLOOKUP([1]!Table134526_79101120212223242526[[#This Row],[Name Surname]],[1]Manpower!$C$4:$C$1048576,[1]Manpower!$H$4:$H$1048576,"")</f>
        <v>Manpower</v>
      </c>
      <c r="I588" s="5" t="str">
        <f>_xlfn.XLOOKUP([1]!Table134526_79101120212223242526[[#This Row],[Name Surname]],[1]Manpower!$C$4:$C$1048576,[1]Manpower!$H$4:$H$1048576,"")</f>
        <v>Manpower</v>
      </c>
      <c r="J588" s="5" t="s">
        <v>9</v>
      </c>
      <c r="K588" s="5" t="s">
        <v>7</v>
      </c>
      <c r="L588" s="5" t="s">
        <v>10</v>
      </c>
      <c r="M588" s="5" t="s">
        <v>5</v>
      </c>
      <c r="N588" s="6">
        <v>10</v>
      </c>
      <c r="O588" s="5" t="s">
        <v>6</v>
      </c>
      <c r="P588" s="5" t="s">
        <v>12</v>
      </c>
      <c r="Q588" s="5" t="s">
        <v>29</v>
      </c>
      <c r="R588" s="5" t="s">
        <v>145</v>
      </c>
      <c r="S588" s="8"/>
    </row>
    <row r="589" spans="1:19" x14ac:dyDescent="0.3">
      <c r="A589" s="28" t="e">
        <f>IF(C589="","",MAX($A$2:A588)+1)</f>
        <v>#REF!</v>
      </c>
      <c r="B589" s="10" t="s">
        <v>0</v>
      </c>
      <c r="C589" s="11">
        <v>46105</v>
      </c>
      <c r="D589" s="13" t="str">
        <f>_xlfn.XLOOKUP([1]!Table134526_79101120212223242526[[#This Row],[Name Surname]],[1]Manpower!$C$4:$C$1048576,[1]Manpower!$B$4:$B$1048576,"")</f>
        <v>Encogroup</v>
      </c>
      <c r="E589" s="13" t="s">
        <v>15</v>
      </c>
      <c r="F589" s="12">
        <f>_xlfn.XLOOKUP([1]!Table134526_79101120212223242526[[#This Row],[Name Surname]],[1]Manpower!C:C,[1]Manpower!D:D,)</f>
        <v>141365126</v>
      </c>
      <c r="G589" s="13" t="str">
        <f>_xlfn.XLOOKUP([1]!Table134526_79101120212223242526[[#This Row],[Name Surname]],[1]Manpower!$C$4:$C$1048576,[1]Manpower!$F$4:$F$1048576,"")</f>
        <v>Helper</v>
      </c>
      <c r="H589" s="13" t="str">
        <f>_xlfn.XLOOKUP([1]!Table134526_79101120212223242526[[#This Row],[Name Surname]],[1]Manpower!$C$4:$C$1048576,[1]Manpower!$H$4:$H$1048576,"")</f>
        <v>Manpower</v>
      </c>
      <c r="I589" s="13" t="str">
        <f>_xlfn.XLOOKUP([1]!Table134526_79101120212223242526[[#This Row],[Name Surname]],[1]Manpower!$C$4:$C$1048576,[1]Manpower!$H$4:$H$1048576,"")</f>
        <v>Manpower</v>
      </c>
      <c r="J589" s="13" t="s">
        <v>9</v>
      </c>
      <c r="K589" s="13" t="s">
        <v>7</v>
      </c>
      <c r="L589" s="13" t="s">
        <v>10</v>
      </c>
      <c r="M589" s="13" t="s">
        <v>5</v>
      </c>
      <c r="N589" s="14">
        <v>10</v>
      </c>
      <c r="O589" s="13" t="s">
        <v>6</v>
      </c>
      <c r="P589" s="13" t="s">
        <v>12</v>
      </c>
      <c r="Q589" s="13" t="s">
        <v>29</v>
      </c>
      <c r="R589" s="13" t="s">
        <v>145</v>
      </c>
      <c r="S589" s="15"/>
    </row>
    <row r="590" spans="1:19" x14ac:dyDescent="0.3">
      <c r="A590" s="29" t="e">
        <f>IF(C590="","",MAX($A$2:A589)+1)</f>
        <v>#REF!</v>
      </c>
      <c r="B590" s="10" t="s">
        <v>0</v>
      </c>
      <c r="C590" s="3">
        <v>46105</v>
      </c>
      <c r="D590" s="3" t="str">
        <f>_xlfn.XLOOKUP([1]!Table134526_79101120212223242526[[#This Row],[Name Surname]],[1]Manpower!$C$4:$C$1048576,[1]Manpower!$B$4:$B$1048576,"")</f>
        <v>Bright Light</v>
      </c>
      <c r="E590" s="3" t="s">
        <v>20</v>
      </c>
      <c r="F590" s="4">
        <f>_xlfn.XLOOKUP([1]!Table134526_79101120212223242526[[#This Row],[Name Surname]],[1]Manpower!C:C,[1]Manpower!D:D,)</f>
        <v>81379273</v>
      </c>
      <c r="G590" s="3" t="str">
        <f>_xlfn.XLOOKUP([1]!Table134526_79101120212223242526[[#This Row],[Name Surname]],[1]Manpower!$C$4:$C$1048576,[1]Manpower!$F$4:$F$1048576,"")</f>
        <v>Crane Operator-100T Sany Telescopic</v>
      </c>
      <c r="H590" s="3" t="str">
        <f>_xlfn.XLOOKUP([1]!Table134526_79101120212223242526[[#This Row],[Name Surname]],[1]Manpower!$C$4:$C$1048576,[1]Manpower!$H$4:$H$1048576,"")</f>
        <v>Manpower</v>
      </c>
      <c r="I590" s="3" t="str">
        <f>_xlfn.XLOOKUP([1]!Table134526_79101120212223242526[[#This Row],[Name Surname]],[1]Manpower!$C$4:$C$1048576,[1]Manpower!$H$4:$H$1048576,"")</f>
        <v>Manpower</v>
      </c>
      <c r="J590" s="5" t="s">
        <v>9</v>
      </c>
      <c r="K590" s="5" t="s">
        <v>7</v>
      </c>
      <c r="L590" s="5" t="s">
        <v>10</v>
      </c>
      <c r="M590" s="5" t="s">
        <v>5</v>
      </c>
      <c r="N590" s="6">
        <v>10</v>
      </c>
      <c r="O590" s="5" t="s">
        <v>6</v>
      </c>
      <c r="P590" s="5" t="s">
        <v>12</v>
      </c>
      <c r="Q590" s="5" t="s">
        <v>12</v>
      </c>
      <c r="R590" s="5" t="s">
        <v>145</v>
      </c>
      <c r="S590" s="8"/>
    </row>
    <row r="591" spans="1:19" x14ac:dyDescent="0.3">
      <c r="A591" s="28" t="e">
        <f>IF(C591="","",MAX($A$2:A583)+1)</f>
        <v>#REF!</v>
      </c>
      <c r="B591" s="30" t="s">
        <v>36</v>
      </c>
      <c r="C591" s="11">
        <v>46105</v>
      </c>
      <c r="D591" s="13" t="str">
        <f>_xlfn.XLOOKUP([1]!Table134526_79101120212223242526[[#This Row],[Name Surname]],[1]Manpower!$C$4:$C$1048576,[1]Manpower!$B$4:$B$1048576,"")</f>
        <v>Encogroup</v>
      </c>
      <c r="E591" s="13" t="s">
        <v>22</v>
      </c>
      <c r="F591" s="12">
        <f>_xlfn.XLOOKUP([1]!Table134526_79101120212223242526[[#This Row],[Name Surname]],[1]Manpower!C:C,[1]Manpower!D:D,)</f>
        <v>140764706</v>
      </c>
      <c r="G591" s="13" t="str">
        <f>_xlfn.XLOOKUP([1]!Table134526_79101120212223242526[[#This Row],[Name Surname]],[1]Manpower!$C$4:$C$1048576,[1]Manpower!$F$4:$F$1048576,"")</f>
        <v>Rigger</v>
      </c>
      <c r="H591" s="13" t="str">
        <f>_xlfn.XLOOKUP([1]!Table134526_79101120212223242526[[#This Row],[Name Surname]],[1]Manpower!$C$4:$C$1048576,[1]Manpower!$H$4:$H$1048576,"")</f>
        <v>Manpower</v>
      </c>
      <c r="I591" s="13" t="str">
        <f>_xlfn.XLOOKUP([1]!Table134526_79101120212223242526[[#This Row],[Name Surname]],[1]Manpower!$C$4:$C$1048576,[1]Manpower!$H$4:$H$1048576,"")</f>
        <v>Manpower</v>
      </c>
      <c r="J591" s="13" t="s">
        <v>23</v>
      </c>
      <c r="K591" s="13" t="s">
        <v>81</v>
      </c>
      <c r="L591" s="13" t="s">
        <v>25</v>
      </c>
      <c r="M591" s="13" t="s">
        <v>5</v>
      </c>
      <c r="N591" s="14">
        <v>10</v>
      </c>
      <c r="O591" s="13" t="s">
        <v>6</v>
      </c>
      <c r="P591" s="13" t="s">
        <v>12</v>
      </c>
      <c r="Q591" s="13" t="s">
        <v>26</v>
      </c>
      <c r="R591" s="13" t="s">
        <v>134</v>
      </c>
      <c r="S591" s="15"/>
    </row>
    <row r="592" spans="1:19" x14ac:dyDescent="0.3">
      <c r="A592" s="29" t="e">
        <f>IF(C592="","",MAX($A$2:A591)+1)</f>
        <v>#REF!</v>
      </c>
      <c r="B592" s="30" t="s">
        <v>36</v>
      </c>
      <c r="C592" s="3">
        <v>46105</v>
      </c>
      <c r="D592" s="5" t="str">
        <f>_xlfn.XLOOKUP([1]!Table134526_79101120212223242526[[#This Row],[Name Surname]],[1]Manpower!$C$4:$C$1048576,[1]Manpower!$B$4:$B$1048576,"")</f>
        <v>Encogroup</v>
      </c>
      <c r="E592" s="5" t="s">
        <v>28</v>
      </c>
      <c r="F592" s="4">
        <f>_xlfn.XLOOKUP([1]!Table134526_79101120212223242526[[#This Row],[Name Surname]],[1]Manpower!C:C,[1]Manpower!D:D,)</f>
        <v>135325259</v>
      </c>
      <c r="G592" s="5" t="str">
        <f>_xlfn.XLOOKUP([1]!Table134526_79101120212223242526[[#This Row],[Name Surname]],[1]Manpower!$C$4:$C$1048576,[1]Manpower!$F$4:$F$1048576,"")</f>
        <v>Permit Receiver</v>
      </c>
      <c r="H592" s="5" t="str">
        <f>_xlfn.XLOOKUP([1]!Table134526_79101120212223242526[[#This Row],[Name Surname]],[1]Manpower!$C$4:$C$1048576,[1]Manpower!$H$4:$H$1048576,"")</f>
        <v>Manpower</v>
      </c>
      <c r="I592" s="5" t="str">
        <f>_xlfn.XLOOKUP([1]!Table134526_79101120212223242526[[#This Row],[Name Surname]],[1]Manpower!$C$4:$C$1048576,[1]Manpower!$H$4:$H$1048576,"")</f>
        <v>Manpower</v>
      </c>
      <c r="J592" s="5" t="s">
        <v>23</v>
      </c>
      <c r="K592" s="5" t="s">
        <v>81</v>
      </c>
      <c r="L592" s="5" t="s">
        <v>25</v>
      </c>
      <c r="M592" s="5" t="s">
        <v>5</v>
      </c>
      <c r="N592" s="6">
        <v>10</v>
      </c>
      <c r="O592" s="5" t="s">
        <v>6</v>
      </c>
      <c r="P592" s="5" t="s">
        <v>12</v>
      </c>
      <c r="Q592" s="5" t="s">
        <v>26</v>
      </c>
      <c r="R592" s="5" t="s">
        <v>135</v>
      </c>
      <c r="S592" s="8"/>
    </row>
    <row r="593" spans="1:19" x14ac:dyDescent="0.3">
      <c r="A593" s="28" t="e">
        <f>IF(C593="","",MAX($A$2:A592)+1)</f>
        <v>#REF!</v>
      </c>
      <c r="B593" s="30" t="s">
        <v>36</v>
      </c>
      <c r="C593" s="11">
        <v>46105</v>
      </c>
      <c r="D593" s="13" t="str">
        <f>_xlfn.XLOOKUP([1]!Table134526_79101120212223242526[[#This Row],[Name Surname]],[1]Manpower!$C$4:$C$1048576,[1]Manpower!$B$4:$B$1048576,"")</f>
        <v>Encogroup</v>
      </c>
      <c r="E593" s="13" t="s">
        <v>111</v>
      </c>
      <c r="F593" s="12">
        <f>_xlfn.XLOOKUP([1]!Table134526_79101120212223242526[[#This Row],[Name Surname]],[1]Manpower!C:C,[1]Manpower!D:D,)</f>
        <v>141365089</v>
      </c>
      <c r="G593" s="13" t="str">
        <f>_xlfn.XLOOKUP([1]!Table134526_79101120212223242526[[#This Row],[Name Surname]],[1]Manpower!$C$4:$C$1048576,[1]Manpower!$F$4:$F$1048576,"")</f>
        <v>Fitter</v>
      </c>
      <c r="H593" s="13" t="str">
        <f>_xlfn.XLOOKUP([1]!Table134526_79101120212223242526[[#This Row],[Name Surname]],[1]Manpower!$C$4:$C$1048576,[1]Manpower!$H$4:$H$1048576,"")</f>
        <v>Manpower</v>
      </c>
      <c r="I593" s="13" t="str">
        <f>_xlfn.XLOOKUP([1]!Table134526_79101120212223242526[[#This Row],[Name Surname]],[1]Manpower!$C$4:$C$1048576,[1]Manpower!$H$4:$H$1048576,"")</f>
        <v>Manpower</v>
      </c>
      <c r="J593" s="13" t="s">
        <v>23</v>
      </c>
      <c r="K593" s="13" t="s">
        <v>81</v>
      </c>
      <c r="L593" s="13" t="s">
        <v>25</v>
      </c>
      <c r="M593" s="13" t="s">
        <v>18</v>
      </c>
      <c r="N593" s="14">
        <v>10</v>
      </c>
      <c r="O593" s="13"/>
      <c r="P593" s="13"/>
      <c r="Q593" s="13"/>
      <c r="R593" s="13" t="s">
        <v>19</v>
      </c>
      <c r="S593" s="15"/>
    </row>
    <row r="594" spans="1:19" x14ac:dyDescent="0.3">
      <c r="A594" s="29" t="e">
        <f>IF(C594="","",MAX($A$2:A593)+1)</f>
        <v>#REF!</v>
      </c>
      <c r="B594" s="30" t="s">
        <v>36</v>
      </c>
      <c r="C594" s="3">
        <v>46105</v>
      </c>
      <c r="D594" s="5" t="str">
        <f>_xlfn.XLOOKUP([1]!Table134526_79101120212223242526[[#This Row],[Name Surname]],[1]Manpower!$C$4:$C$1048576,[1]Manpower!$B$4:$B$1048576,"")</f>
        <v>Encogroup</v>
      </c>
      <c r="E594" s="5" t="s">
        <v>31</v>
      </c>
      <c r="F594" s="4">
        <f>_xlfn.XLOOKUP([1]!Table134526_79101120212223242526[[#This Row],[Name Surname]],[1]Manpower!C:C,[1]Manpower!D:D,)</f>
        <v>122179604</v>
      </c>
      <c r="G594" s="5" t="str">
        <f>_xlfn.XLOOKUP([1]!Table134526_79101120212223242526[[#This Row],[Name Surname]],[1]Manpower!$C$4:$C$1048576,[1]Manpower!$F$4:$F$1048576,"")</f>
        <v>Fitter/Erector</v>
      </c>
      <c r="H594" s="5" t="str">
        <f>_xlfn.XLOOKUP([1]!Table134526_79101120212223242526[[#This Row],[Name Surname]],[1]Manpower!$C$4:$C$1048576,[1]Manpower!$H$4:$H$1048576,"")</f>
        <v>Manpower</v>
      </c>
      <c r="I594" s="5" t="str">
        <f>_xlfn.XLOOKUP([1]!Table134526_79101120212223242526[[#This Row],[Name Surname]],[1]Manpower!$C$4:$C$1048576,[1]Manpower!$H$4:$H$1048576,"")</f>
        <v>Manpower</v>
      </c>
      <c r="J594" s="5" t="s">
        <v>23</v>
      </c>
      <c r="K594" s="5" t="s">
        <v>146</v>
      </c>
      <c r="L594" s="5" t="s">
        <v>25</v>
      </c>
      <c r="M594" s="5" t="s">
        <v>5</v>
      </c>
      <c r="N594" s="6">
        <v>10</v>
      </c>
      <c r="O594" s="5" t="s">
        <v>11</v>
      </c>
      <c r="P594" s="5" t="s">
        <v>12</v>
      </c>
      <c r="Q594" s="5" t="s">
        <v>13</v>
      </c>
      <c r="R594" s="5" t="s">
        <v>7</v>
      </c>
      <c r="S594" s="8"/>
    </row>
    <row r="595" spans="1:19" x14ac:dyDescent="0.3">
      <c r="A595" s="28" t="e">
        <f>IF(C595="","",MAX($A$2:A594)+1)</f>
        <v>#REF!</v>
      </c>
      <c r="B595" s="30" t="s">
        <v>36</v>
      </c>
      <c r="C595" s="11">
        <v>46105</v>
      </c>
      <c r="D595" s="13" t="str">
        <f>_xlfn.XLOOKUP([1]!Table134526_79101120212223242526[[#This Row],[Name Surname]],[1]Manpower!$C$4:$C$1048576,[1]Manpower!$B$4:$B$1048576,"")</f>
        <v>Encogroup</v>
      </c>
      <c r="E595" s="13" t="s">
        <v>41</v>
      </c>
      <c r="F595" s="12">
        <f>_xlfn.XLOOKUP([1]!Table134526_79101120212223242526[[#This Row],[Name Surname]],[1]Manpower!C:C,[1]Manpower!D:D,)</f>
        <v>117255966</v>
      </c>
      <c r="G595" s="13" t="str">
        <f>_xlfn.XLOOKUP([1]!Table134526_79101120212223242526[[#This Row],[Name Surname]],[1]Manpower!$C$4:$C$1048576,[1]Manpower!$F$4:$F$1048576,"")</f>
        <v>Mechanical Supervisor</v>
      </c>
      <c r="H595" s="13" t="str">
        <f>_xlfn.XLOOKUP([1]!Table134526_79101120212223242526[[#This Row],[Name Surname]],[1]Manpower!$C$4:$C$1048576,[1]Manpower!$H$4:$H$1048576,"")</f>
        <v>Manpower</v>
      </c>
      <c r="I595" s="13" t="str">
        <f>_xlfn.XLOOKUP([1]!Table134526_79101120212223242526[[#This Row],[Name Surname]],[1]Manpower!$C$4:$C$1048576,[1]Manpower!$H$4:$H$1048576,"")</f>
        <v>Manpower</v>
      </c>
      <c r="J595" s="13" t="s">
        <v>23</v>
      </c>
      <c r="K595" s="13" t="s">
        <v>146</v>
      </c>
      <c r="L595" s="13" t="s">
        <v>25</v>
      </c>
      <c r="M595" s="13" t="s">
        <v>5</v>
      </c>
      <c r="N595" s="14">
        <v>10</v>
      </c>
      <c r="O595" s="13" t="s">
        <v>11</v>
      </c>
      <c r="P595" s="13" t="s">
        <v>12</v>
      </c>
      <c r="Q595" s="13" t="s">
        <v>13</v>
      </c>
      <c r="R595" s="13" t="s">
        <v>142</v>
      </c>
      <c r="S595" s="15"/>
    </row>
    <row r="596" spans="1:19" x14ac:dyDescent="0.3">
      <c r="A596" s="29" t="e">
        <f>IF(C596="","",MAX($A$2:A595)+1)</f>
        <v>#REF!</v>
      </c>
      <c r="B596" s="30" t="s">
        <v>36</v>
      </c>
      <c r="C596" s="3">
        <v>46105</v>
      </c>
      <c r="D596" s="5" t="str">
        <f>_xlfn.XLOOKUP([1]!Table134526_79101120212223242526[[#This Row],[Name Surname]],[1]Manpower!$C$4:$C$1048576,[1]Manpower!$B$4:$B$1048576,"")</f>
        <v>Encogroup</v>
      </c>
      <c r="E596" s="5" t="s">
        <v>32</v>
      </c>
      <c r="F596" s="4" t="e">
        <f>_xlfn.XLOOKUP([1]!Table134526_79101120212223242526[[#This Row],[Name Surname]],[1]Manpower!C:C,[1]Manpower!D:D,)</f>
        <v>#N/A</v>
      </c>
      <c r="G596" s="5" t="str">
        <f>_xlfn.XLOOKUP([1]!Table134526_79101120212223242526[[#This Row],[Name Surname]],[1]Manpower!$C$4:$C$1048576,[1]Manpower!$F$4:$F$1048576,"")</f>
        <v>22M-Manlift</v>
      </c>
      <c r="H596" s="5" t="str">
        <f>_xlfn.XLOOKUP([1]!Table134526_79101120212223242526[[#This Row],[Name Surname]],[1]Manpower!$C$4:$C$1048576,[1]Manpower!$H$4:$H$1048576,"")</f>
        <v>Equipment</v>
      </c>
      <c r="I596" s="5" t="str">
        <f>_xlfn.XLOOKUP([1]!Table134526_79101120212223242526[[#This Row],[Name Surname]],[1]Manpower!$C$4:$C$1048576,[1]Manpower!$H$4:$H$1048576,"")</f>
        <v>Equipment</v>
      </c>
      <c r="J596" s="5" t="s">
        <v>23</v>
      </c>
      <c r="K596" s="5" t="s">
        <v>146</v>
      </c>
      <c r="L596" s="5" t="s">
        <v>25</v>
      </c>
      <c r="M596" s="5" t="s">
        <v>5</v>
      </c>
      <c r="N596" s="6">
        <v>10</v>
      </c>
      <c r="O596" s="5" t="s">
        <v>33</v>
      </c>
      <c r="P596" s="5" t="s">
        <v>33</v>
      </c>
      <c r="Q596" s="5" t="s">
        <v>33</v>
      </c>
      <c r="R596" s="5" t="s">
        <v>7</v>
      </c>
      <c r="S596" s="8"/>
    </row>
    <row r="597" spans="1:19" x14ac:dyDescent="0.3">
      <c r="A597" s="28" t="e">
        <f>IF(C597="","",MAX($A$2:A595)+1)</f>
        <v>#REF!</v>
      </c>
      <c r="B597" s="30" t="s">
        <v>36</v>
      </c>
      <c r="C597" s="11">
        <v>46105</v>
      </c>
      <c r="D597" s="13" t="str">
        <f>_xlfn.XLOOKUP([1]!Table134526_79101120212223242526[[#This Row],[Name Surname]],[1]Manpower!$C$4:$C$1048576,[1]Manpower!$B$4:$B$1048576,"")</f>
        <v>Encogroup</v>
      </c>
      <c r="E597" s="13" t="s">
        <v>34</v>
      </c>
      <c r="F597" s="12" t="e">
        <f>_xlfn.XLOOKUP([1]!Table134526_79101120212223242526[[#This Row],[Name Surname]],[1]Manpower!C:C,[1]Manpower!D:D,)</f>
        <v>#N/A</v>
      </c>
      <c r="G597" s="13" t="str">
        <f>_xlfn.XLOOKUP([1]!Table134526_79101120212223242526[[#This Row],[Name Surname]],[1]Manpower!$C$4:$C$1048576,[1]Manpower!$F$4:$F$1048576,"")</f>
        <v>22M-Manlift</v>
      </c>
      <c r="H597" s="13" t="str">
        <f>_xlfn.XLOOKUP([1]!Table134526_79101120212223242526[[#This Row],[Name Surname]],[1]Manpower!$C$4:$C$1048576,[1]Manpower!$H$4:$H$1048576,"")</f>
        <v>Equipment</v>
      </c>
      <c r="I597" s="13" t="str">
        <f>_xlfn.XLOOKUP([1]!Table134526_79101120212223242526[[#This Row],[Name Surname]],[1]Manpower!$C$4:$C$1048576,[1]Manpower!$H$4:$H$1048576,"")</f>
        <v>Equipment</v>
      </c>
      <c r="J597" s="13" t="s">
        <v>23</v>
      </c>
      <c r="K597" s="13" t="s">
        <v>146</v>
      </c>
      <c r="L597" s="13" t="s">
        <v>25</v>
      </c>
      <c r="M597" s="13" t="s">
        <v>5</v>
      </c>
      <c r="N597" s="14">
        <v>10</v>
      </c>
      <c r="O597" s="13" t="s">
        <v>35</v>
      </c>
      <c r="P597" s="13" t="s">
        <v>35</v>
      </c>
      <c r="Q597" s="13" t="s">
        <v>35</v>
      </c>
      <c r="R597" s="13" t="s">
        <v>7</v>
      </c>
      <c r="S597" s="15"/>
    </row>
    <row r="598" spans="1:19" x14ac:dyDescent="0.3">
      <c r="A598" s="29" t="e">
        <f>IF(C598="","",MAX($A$2:A597)+1)</f>
        <v>#REF!</v>
      </c>
      <c r="B598" s="30" t="s">
        <v>36</v>
      </c>
      <c r="C598" s="3">
        <v>46105</v>
      </c>
      <c r="D598" s="5" t="str">
        <f>_xlfn.XLOOKUP([1]!Table134526_79101120212223242526[[#This Row],[Name Surname]],[1]Manpower!$C$4:$C$1048576,[1]Manpower!$B$4:$B$1048576,"")</f>
        <v>Nass Group</v>
      </c>
      <c r="E598" s="5" t="s">
        <v>120</v>
      </c>
      <c r="F598" s="4" t="e">
        <f>_xlfn.XLOOKUP([1]!Table134526_79101120212223242526[[#This Row],[Name Surname]],[1]Manpower!C:C,[1]Manpower!D:D,)</f>
        <v>#N/A</v>
      </c>
      <c r="G598" s="5" t="str">
        <f>_xlfn.XLOOKUP([1]!Table134526_79101120212223242526[[#This Row],[Name Surname]],[1]Manpower!$C$4:$C$1048576,[1]Manpower!$F$4:$F$1048576,"")</f>
        <v>70T-Telescopic crane</v>
      </c>
      <c r="H598" s="5" t="str">
        <f>_xlfn.XLOOKUP([1]!Table134526_79101120212223242526[[#This Row],[Name Surname]],[1]Manpower!$C$4:$C$1048576,[1]Manpower!$H$4:$H$1048576,"")</f>
        <v>Equipment</v>
      </c>
      <c r="I598" s="5" t="str">
        <f>_xlfn.XLOOKUP([1]!Table134526_79101120212223242526[[#This Row],[Name Surname]],[1]Manpower!$C$4:$C$1048576,[1]Manpower!$H$4:$H$1048576,"")</f>
        <v>Equipment</v>
      </c>
      <c r="J598" s="5" t="s">
        <v>23</v>
      </c>
      <c r="K598" s="5" t="s">
        <v>146</v>
      </c>
      <c r="L598" s="5" t="s">
        <v>25</v>
      </c>
      <c r="M598" s="5" t="s">
        <v>5</v>
      </c>
      <c r="N598" s="6">
        <v>10</v>
      </c>
      <c r="O598" s="5" t="s">
        <v>35</v>
      </c>
      <c r="P598" s="5" t="s">
        <v>35</v>
      </c>
      <c r="Q598" s="5" t="s">
        <v>35</v>
      </c>
      <c r="R598" s="5" t="s">
        <v>7</v>
      </c>
      <c r="S598" s="8"/>
    </row>
    <row r="599" spans="1:19" x14ac:dyDescent="0.3">
      <c r="A599" s="28" t="e">
        <f>IF(C599="","",MAX($A$2:A598)+1)</f>
        <v>#REF!</v>
      </c>
      <c r="B599" s="17" t="s">
        <v>36</v>
      </c>
      <c r="C599" s="11">
        <v>46105</v>
      </c>
      <c r="D599" s="13" t="str">
        <f>_xlfn.XLOOKUP([1]!Table134526_79101120212223242526[[#This Row],[Name Surname]],[1]Manpower!$C$4:$C$1048576,[1]Manpower!$B$4:$B$1048576,"")</f>
        <v>Encogroup</v>
      </c>
      <c r="E599" s="13" t="s">
        <v>43</v>
      </c>
      <c r="F599" s="12">
        <f>_xlfn.XLOOKUP([1]!Table134526_79101120212223242526[[#This Row],[Name Surname]],[1]Manpower!C:C,[1]Manpower!D:D,)</f>
        <v>126724428</v>
      </c>
      <c r="G599" s="13" t="str">
        <f>_xlfn.XLOOKUP([1]!Table134526_79101120212223242526[[#This Row],[Name Surname]],[1]Manpower!$C$4:$C$1048576,[1]Manpower!$F$4:$F$1048576,"")</f>
        <v>Surveyor</v>
      </c>
      <c r="H599" s="13" t="str">
        <f>_xlfn.XLOOKUP([1]!Table134526_79101120212223242526[[#This Row],[Name Surname]],[1]Manpower!$C$4:$C$1048576,[1]Manpower!$H$4:$H$1048576,"")</f>
        <v>Manpower</v>
      </c>
      <c r="I599" s="13" t="str">
        <f>_xlfn.XLOOKUP([1]!Table134526_79101120212223242526[[#This Row],[Name Surname]],[1]Manpower!$C$4:$C$1048576,[1]Manpower!$H$4:$H$1048576,"")</f>
        <v>Manpower</v>
      </c>
      <c r="J599" s="13" t="s">
        <v>38</v>
      </c>
      <c r="K599" s="13" t="s">
        <v>7</v>
      </c>
      <c r="L599" s="13" t="s">
        <v>39</v>
      </c>
      <c r="M599" s="13" t="s">
        <v>5</v>
      </c>
      <c r="N599" s="14">
        <v>10</v>
      </c>
      <c r="O599" s="13" t="s">
        <v>11</v>
      </c>
      <c r="P599" s="13" t="s">
        <v>13</v>
      </c>
      <c r="Q599" s="13" t="s">
        <v>13</v>
      </c>
      <c r="R599" s="13" t="s">
        <v>143</v>
      </c>
      <c r="S599" s="15"/>
    </row>
    <row r="600" spans="1:19" x14ac:dyDescent="0.3">
      <c r="A600" s="31" t="e">
        <f>IF(C600="","",MAX($A$2:A599)+1)</f>
        <v>#REF!</v>
      </c>
      <c r="B600" s="10" t="s">
        <v>36</v>
      </c>
      <c r="C600" s="25">
        <v>46105</v>
      </c>
      <c r="D600" s="22" t="str">
        <f>_xlfn.XLOOKUP([1]!Table134526_79101120212223242526[[#This Row],[Name Surname]],[1]Manpower!$C$4:$C$1048576,[1]Manpower!$B$4:$B$1048576,"")</f>
        <v>Encogroup</v>
      </c>
      <c r="E600" s="22" t="s">
        <v>1</v>
      </c>
      <c r="F600" s="4">
        <f>_xlfn.XLOOKUP([1]!Table134526_79101120212223242526[[#This Row],[Name Surname]],[1]Manpower!C:C,[1]Manpower!D:D,)</f>
        <v>132915855</v>
      </c>
      <c r="G600" s="22" t="str">
        <f>_xlfn.XLOOKUP([1]!Table134526_79101120212223242526[[#This Row],[Name Surname]],[1]Manpower!$C$4:$C$1048576,[1]Manpower!$F$4:$F$1048576,"")</f>
        <v>Mechanical Supervisor</v>
      </c>
      <c r="H600" s="22" t="str">
        <f>_xlfn.XLOOKUP([1]!Table134526_79101120212223242526[[#This Row],[Name Surname]],[1]Manpower!$C$4:$C$1048576,[1]Manpower!$H$4:$H$1048576,"")</f>
        <v>Manpower</v>
      </c>
      <c r="I600" s="22" t="str">
        <f>_xlfn.XLOOKUP([1]!Table134526_79101120212223242526[[#This Row],[Name Surname]],[1]Manpower!$C$4:$C$1048576,[1]Manpower!$H$4:$H$1048576,"")</f>
        <v>Manpower</v>
      </c>
      <c r="J600" s="22" t="s">
        <v>38</v>
      </c>
      <c r="K600" s="22" t="s">
        <v>7</v>
      </c>
      <c r="L600" s="22" t="s">
        <v>39</v>
      </c>
      <c r="M600" s="22" t="s">
        <v>5</v>
      </c>
      <c r="N600" s="26">
        <v>5</v>
      </c>
      <c r="O600" s="22"/>
      <c r="P600" s="22"/>
      <c r="Q600" s="22"/>
      <c r="R600" s="22" t="s">
        <v>143</v>
      </c>
      <c r="S600" s="27" t="s">
        <v>13</v>
      </c>
    </row>
    <row r="601" spans="1:19" x14ac:dyDescent="0.3">
      <c r="A601" s="28" t="e">
        <f>IF(C601="","",MAX($A$2:A598)+1)</f>
        <v>#REF!</v>
      </c>
      <c r="B601" s="17" t="s">
        <v>36</v>
      </c>
      <c r="C601" s="11">
        <v>46105</v>
      </c>
      <c r="D601" s="13" t="str">
        <f>_xlfn.XLOOKUP([1]!Table134526_79101120212223242526[[#This Row],[Name Surname]],[1]Manpower!$C$4:$C$1048576,[1]Manpower!$B$4:$B$1048576,"")</f>
        <v>Encogroup</v>
      </c>
      <c r="E601" s="13" t="s">
        <v>37</v>
      </c>
      <c r="F601" s="12">
        <f>_xlfn.XLOOKUP([1]!Table134526_79101120212223242526[[#This Row],[Name Surname]],[1]Manpower!C:C,[1]Manpower!D:D,)</f>
        <v>141377747</v>
      </c>
      <c r="G601" s="13" t="str">
        <f>_xlfn.XLOOKUP([1]!Table134526_79101120212223242526[[#This Row],[Name Surname]],[1]Manpower!$C$4:$C$1048576,[1]Manpower!$F$4:$F$1048576,"")</f>
        <v>Painter</v>
      </c>
      <c r="H601" s="13" t="str">
        <f>_xlfn.XLOOKUP([1]!Table134526_79101120212223242526[[#This Row],[Name Surname]],[1]Manpower!$C$4:$C$1048576,[1]Manpower!$H$4:$H$1048576,"")</f>
        <v>Manpower</v>
      </c>
      <c r="I601" s="13" t="str">
        <f>_xlfn.XLOOKUP([1]!Table134526_79101120212223242526[[#This Row],[Name Surname]],[1]Manpower!$C$4:$C$1048576,[1]Manpower!$H$4:$H$1048576,"")</f>
        <v>Manpower</v>
      </c>
      <c r="J601" s="13" t="s">
        <v>38</v>
      </c>
      <c r="K601" s="13" t="s">
        <v>7</v>
      </c>
      <c r="L601" s="13" t="s">
        <v>39</v>
      </c>
      <c r="M601" s="13" t="s">
        <v>5</v>
      </c>
      <c r="N601" s="14">
        <v>10</v>
      </c>
      <c r="O601" s="13" t="s">
        <v>33</v>
      </c>
      <c r="P601" s="13" t="s">
        <v>33</v>
      </c>
      <c r="Q601" s="13" t="s">
        <v>33</v>
      </c>
      <c r="R601" s="13" t="s">
        <v>7</v>
      </c>
      <c r="S601" s="15"/>
    </row>
    <row r="602" spans="1:19" x14ac:dyDescent="0.3">
      <c r="A602" s="29" t="e">
        <f>IF(C602="","",MAX($A$2:A601)+1)</f>
        <v>#REF!</v>
      </c>
      <c r="B602" s="17" t="s">
        <v>36</v>
      </c>
      <c r="C602" s="3">
        <v>46105</v>
      </c>
      <c r="D602" s="5" t="str">
        <f>_xlfn.XLOOKUP([1]!Table134526_79101120212223242526[[#This Row],[Name Surname]],[1]Manpower!$C$4:$C$1048576,[1]Manpower!$B$4:$B$1048576,"")</f>
        <v>Encogroup</v>
      </c>
      <c r="E602" s="5" t="s">
        <v>40</v>
      </c>
      <c r="F602" s="4">
        <f>_xlfn.XLOOKUP([1]!Table134526_79101120212223242526[[#This Row],[Name Surname]],[1]Manpower!C:C,[1]Manpower!D:D,)</f>
        <v>141359235</v>
      </c>
      <c r="G602" s="5" t="str">
        <f>_xlfn.XLOOKUP([1]!Table134526_79101120212223242526[[#This Row],[Name Surname]],[1]Manpower!$C$4:$C$1048576,[1]Manpower!$F$4:$F$1048576,"")</f>
        <v>Fitter</v>
      </c>
      <c r="H602" s="5" t="str">
        <f>_xlfn.XLOOKUP([1]!Table134526_79101120212223242526[[#This Row],[Name Surname]],[1]Manpower!$C$4:$C$1048576,[1]Manpower!$H$4:$H$1048576,"")</f>
        <v>Manpower</v>
      </c>
      <c r="I602" s="5" t="str">
        <f>_xlfn.XLOOKUP([1]!Table134526_79101120212223242526[[#This Row],[Name Surname]],[1]Manpower!$C$4:$C$1048576,[1]Manpower!$H$4:$H$1048576,"")</f>
        <v>Manpower</v>
      </c>
      <c r="J602" s="5" t="s">
        <v>38</v>
      </c>
      <c r="K602" s="5" t="s">
        <v>7</v>
      </c>
      <c r="L602" s="5" t="s">
        <v>39</v>
      </c>
      <c r="M602" s="5" t="s">
        <v>5</v>
      </c>
      <c r="N602" s="6">
        <v>10</v>
      </c>
      <c r="O602" s="5" t="s">
        <v>33</v>
      </c>
      <c r="P602" s="5" t="s">
        <v>33</v>
      </c>
      <c r="Q602" s="5" t="s">
        <v>33</v>
      </c>
      <c r="R602" s="5" t="s">
        <v>7</v>
      </c>
      <c r="S602" s="8"/>
    </row>
    <row r="603" spans="1:19" x14ac:dyDescent="0.3">
      <c r="A603" s="28" t="e">
        <f>IF(C603="","",MAX($A$2:A601)+1)</f>
        <v>#REF!</v>
      </c>
      <c r="B603" s="17" t="s">
        <v>36</v>
      </c>
      <c r="C603" s="11">
        <v>46105</v>
      </c>
      <c r="D603" s="13" t="str">
        <f>_xlfn.XLOOKUP([1]!Table134526_79101120212223242526[[#This Row],[Name Surname]],[1]Manpower!$C$4:$C$1048576,[1]Manpower!$B$4:$B$1048576,"")</f>
        <v>Encogroup</v>
      </c>
      <c r="E603" s="13" t="s">
        <v>45</v>
      </c>
      <c r="F603" s="12">
        <f>_xlfn.XLOOKUP([1]!Table134526_79101120212223242526[[#This Row],[Name Surname]],[1]Manpower!C:C,[1]Manpower!D:D,)</f>
        <v>140697025</v>
      </c>
      <c r="G603" s="13" t="str">
        <f>_xlfn.XLOOKUP([1]!Table134526_79101120212223242526[[#This Row],[Name Surname]],[1]Manpower!$C$4:$C$1048576,[1]Manpower!$F$4:$F$1048576,"")</f>
        <v>Assistant/Helper</v>
      </c>
      <c r="H603" s="13" t="str">
        <f>_xlfn.XLOOKUP([1]!Table134526_79101120212223242526[[#This Row],[Name Surname]],[1]Manpower!$C$4:$C$1048576,[1]Manpower!$H$4:$H$1048576,"")</f>
        <v>Manpower</v>
      </c>
      <c r="I603" s="13" t="str">
        <f>_xlfn.XLOOKUP([1]!Table134526_79101120212223242526[[#This Row],[Name Surname]],[1]Manpower!$C$4:$C$1048576,[1]Manpower!$H$4:$H$1048576,"")</f>
        <v>Manpower</v>
      </c>
      <c r="J603" s="13" t="s">
        <v>38</v>
      </c>
      <c r="K603" s="13" t="s">
        <v>7</v>
      </c>
      <c r="L603" s="13" t="s">
        <v>39</v>
      </c>
      <c r="M603" s="13" t="s">
        <v>5</v>
      </c>
      <c r="N603" s="14">
        <v>10</v>
      </c>
      <c r="O603" s="13" t="s">
        <v>11</v>
      </c>
      <c r="P603" s="13" t="s">
        <v>13</v>
      </c>
      <c r="Q603" s="13" t="s">
        <v>12</v>
      </c>
      <c r="R603" s="13" t="s">
        <v>79</v>
      </c>
      <c r="S603" s="15"/>
    </row>
    <row r="604" spans="1:19" x14ac:dyDescent="0.3">
      <c r="A604" s="29" t="e">
        <f>IF(C604="","",MAX($A$2:A603)+1)</f>
        <v>#REF!</v>
      </c>
      <c r="B604" s="17" t="s">
        <v>36</v>
      </c>
      <c r="C604" s="3">
        <v>46105</v>
      </c>
      <c r="D604" s="5" t="str">
        <f>_xlfn.XLOOKUP([1]!Table134526_79101120212223242526[[#This Row],[Name Surname]],[1]Manpower!$C$4:$C$1048576,[1]Manpower!$B$4:$B$1048576,"")</f>
        <v>Encogroup</v>
      </c>
      <c r="E604" s="5" t="s">
        <v>48</v>
      </c>
      <c r="F604" s="4">
        <f>_xlfn.XLOOKUP([1]!Table134526_79101120212223242526[[#This Row],[Name Surname]],[1]Manpower!C:C,[1]Manpower!D:D,)</f>
        <v>141169052</v>
      </c>
      <c r="G604" s="5" t="str">
        <f>_xlfn.XLOOKUP([1]!Table134526_79101120212223242526[[#This Row],[Name Surname]],[1]Manpower!$C$4:$C$1048576,[1]Manpower!$F$4:$F$1048576,"")</f>
        <v>Welder</v>
      </c>
      <c r="H604" s="5" t="str">
        <f>_xlfn.XLOOKUP([1]!Table134526_79101120212223242526[[#This Row],[Name Surname]],[1]Manpower!$C$4:$C$1048576,[1]Manpower!$H$4:$H$1048576,"")</f>
        <v>Manpower</v>
      </c>
      <c r="I604" s="5" t="str">
        <f>_xlfn.XLOOKUP([1]!Table134526_79101120212223242526[[#This Row],[Name Surname]],[1]Manpower!$C$4:$C$1048576,[1]Manpower!$H$4:$H$1048576,"")</f>
        <v>Manpower</v>
      </c>
      <c r="J604" s="5" t="s">
        <v>38</v>
      </c>
      <c r="K604" s="5" t="s">
        <v>7</v>
      </c>
      <c r="L604" s="5" t="s">
        <v>39</v>
      </c>
      <c r="M604" s="5" t="s">
        <v>5</v>
      </c>
      <c r="N604" s="6">
        <v>10</v>
      </c>
      <c r="O604" s="5" t="s">
        <v>33</v>
      </c>
      <c r="P604" s="5" t="s">
        <v>33</v>
      </c>
      <c r="Q604" s="5" t="s">
        <v>33</v>
      </c>
      <c r="R604" s="5" t="s">
        <v>7</v>
      </c>
      <c r="S604" s="8"/>
    </row>
    <row r="605" spans="1:19" x14ac:dyDescent="0.3">
      <c r="A605" s="28" t="e">
        <f>IF(C605="","",MAX($A$2:A604)+1)</f>
        <v>#REF!</v>
      </c>
      <c r="B605" s="17" t="s">
        <v>36</v>
      </c>
      <c r="C605" s="11">
        <v>46105</v>
      </c>
      <c r="D605" s="13" t="str">
        <f>_xlfn.XLOOKUP([1]!Table134526_79101120212223242526[[#This Row],[Name Surname]],[1]Manpower!$C$4:$C$1048576,[1]Manpower!$B$4:$B$1048576,"")</f>
        <v>Encogroup</v>
      </c>
      <c r="E605" s="13" t="s">
        <v>49</v>
      </c>
      <c r="F605" s="12">
        <f>_xlfn.XLOOKUP([1]!Table134526_79101120212223242526[[#This Row],[Name Surname]],[1]Manpower!C:C,[1]Manpower!D:D,)</f>
        <v>141365075</v>
      </c>
      <c r="G605" s="13" t="str">
        <f>_xlfn.XLOOKUP([1]!Table134526_79101120212223242526[[#This Row],[Name Surname]],[1]Manpower!$C$4:$C$1048576,[1]Manpower!$F$4:$F$1048576,"")</f>
        <v>Helper</v>
      </c>
      <c r="H605" s="13" t="str">
        <f>_xlfn.XLOOKUP([1]!Table134526_79101120212223242526[[#This Row],[Name Surname]],[1]Manpower!$C$4:$C$1048576,[1]Manpower!$H$4:$H$1048576,"")</f>
        <v>Manpower</v>
      </c>
      <c r="I605" s="13" t="str">
        <f>_xlfn.XLOOKUP([1]!Table134526_79101120212223242526[[#This Row],[Name Surname]],[1]Manpower!$C$4:$C$1048576,[1]Manpower!$H$4:$H$1048576,"")</f>
        <v>Manpower</v>
      </c>
      <c r="J605" s="13" t="s">
        <v>38</v>
      </c>
      <c r="K605" s="13" t="s">
        <v>7</v>
      </c>
      <c r="L605" s="13" t="s">
        <v>39</v>
      </c>
      <c r="M605" s="13" t="s">
        <v>5</v>
      </c>
      <c r="N605" s="14">
        <v>10</v>
      </c>
      <c r="O605" s="13" t="s">
        <v>33</v>
      </c>
      <c r="P605" s="13" t="s">
        <v>33</v>
      </c>
      <c r="Q605" s="13" t="s">
        <v>33</v>
      </c>
      <c r="R605" s="13" t="s">
        <v>7</v>
      </c>
      <c r="S605" s="15"/>
    </row>
    <row r="606" spans="1:19" x14ac:dyDescent="0.3">
      <c r="A606" s="29" t="e">
        <f>IF(C606="","",MAX($A$2:A605)+1)</f>
        <v>#REF!</v>
      </c>
      <c r="B606" s="17" t="s">
        <v>36</v>
      </c>
      <c r="C606" s="3">
        <v>46105</v>
      </c>
      <c r="D606" s="5" t="str">
        <f>_xlfn.XLOOKUP([1]!Table134526_79101120212223242526[[#This Row],[Name Surname]],[1]Manpower!$C$4:$C$1048576,[1]Manpower!$B$4:$B$1048576,"")</f>
        <v>SARENS NASS</v>
      </c>
      <c r="E606" s="5" t="s">
        <v>50</v>
      </c>
      <c r="F606" s="4">
        <f>_xlfn.XLOOKUP([1]!Table134526_79101120212223242526[[#This Row],[Name Surname]],[1]Manpower!C:C,[1]Manpower!D:D,)</f>
        <v>79502392</v>
      </c>
      <c r="G606" s="5" t="str">
        <f>_xlfn.XLOOKUP([1]!Table134526_79101120212223242526[[#This Row],[Name Surname]],[1]Manpower!$C$4:$C$1048576,[1]Manpower!$F$4:$F$1048576,"")</f>
        <v>Crane Operator- 70T Liebherr Telescopic Crane-01</v>
      </c>
      <c r="H606" s="5" t="str">
        <f>_xlfn.XLOOKUP([1]!Table134526_79101120212223242526[[#This Row],[Name Surname]],[1]Manpower!$C$4:$C$1048576,[1]Manpower!$H$4:$H$1048576,"")</f>
        <v>Manpower</v>
      </c>
      <c r="I606" s="5" t="str">
        <f>_xlfn.XLOOKUP([1]!Table134526_79101120212223242526[[#This Row],[Name Surname]],[1]Manpower!$C$4:$C$1048576,[1]Manpower!$H$4:$H$1048576,"")</f>
        <v>Manpower</v>
      </c>
      <c r="J606" s="5" t="s">
        <v>38</v>
      </c>
      <c r="K606" s="5" t="s">
        <v>7</v>
      </c>
      <c r="L606" s="5" t="s">
        <v>39</v>
      </c>
      <c r="M606" s="5" t="s">
        <v>5</v>
      </c>
      <c r="N606" s="6">
        <v>10</v>
      </c>
      <c r="O606" s="5" t="s">
        <v>35</v>
      </c>
      <c r="P606" s="5" t="s">
        <v>35</v>
      </c>
      <c r="Q606" s="5" t="s">
        <v>35</v>
      </c>
      <c r="R606" s="5" t="s">
        <v>7</v>
      </c>
      <c r="S606" s="8"/>
    </row>
    <row r="607" spans="1:19" x14ac:dyDescent="0.3">
      <c r="A607" s="28" t="e">
        <f>IF(C607="","",MAX($A$2:A606)+1)</f>
        <v>#REF!</v>
      </c>
      <c r="B607" s="17" t="s">
        <v>36</v>
      </c>
      <c r="C607" s="11">
        <v>46105</v>
      </c>
      <c r="D607" s="13" t="str">
        <f>_xlfn.XLOOKUP([1]!Table134526_79101120212223242526[[#This Row],[Name Surname]],[1]Manpower!$C$4:$C$1048576,[1]Manpower!$B$4:$B$1048576,"")</f>
        <v>Encogroup</v>
      </c>
      <c r="E607" s="11" t="s">
        <v>51</v>
      </c>
      <c r="F607" s="12">
        <f>_xlfn.XLOOKUP([1]!Table134526_79101120212223242526[[#This Row],[Name Surname]],[1]Manpower!C:C,[1]Manpower!D:D,)</f>
        <v>141358993</v>
      </c>
      <c r="G607" s="13" t="str">
        <f>_xlfn.XLOOKUP([1]!Table134526_79101120212223242526[[#This Row],[Name Surname]],[1]Manpower!$C$4:$C$1048576,[1]Manpower!$F$4:$F$1048576,"")</f>
        <v>Fitter</v>
      </c>
      <c r="H607" s="13" t="str">
        <f>_xlfn.XLOOKUP([1]!Table134526_79101120212223242526[[#This Row],[Name Surname]],[1]Manpower!$C$4:$C$1048576,[1]Manpower!$H$4:$H$1048576,"")</f>
        <v>Manpower</v>
      </c>
      <c r="I607" s="13" t="str">
        <f>_xlfn.XLOOKUP([1]!Table134526_79101120212223242526[[#This Row],[Name Surname]],[1]Manpower!$C$4:$C$1048576,[1]Manpower!$H$4:$H$1048576,"")</f>
        <v>Manpower</v>
      </c>
      <c r="J607" s="13" t="s">
        <v>38</v>
      </c>
      <c r="K607" s="13" t="s">
        <v>7</v>
      </c>
      <c r="L607" s="13" t="s">
        <v>39</v>
      </c>
      <c r="M607" s="13" t="s">
        <v>18</v>
      </c>
      <c r="N607" s="14">
        <v>10</v>
      </c>
      <c r="O607" s="13"/>
      <c r="P607" s="13"/>
      <c r="Q607" s="13"/>
      <c r="R607" s="13" t="s">
        <v>19</v>
      </c>
      <c r="S607" s="15"/>
    </row>
    <row r="608" spans="1:19" x14ac:dyDescent="0.3">
      <c r="A608" s="29" t="e">
        <f>IF(C608="","",MAX($A$2:A607)+1)</f>
        <v>#REF!</v>
      </c>
      <c r="B608" s="17" t="s">
        <v>36</v>
      </c>
      <c r="C608" s="3">
        <v>46105</v>
      </c>
      <c r="D608" s="5" t="str">
        <f>_xlfn.XLOOKUP([1]!Table134526_79101120212223242526[[#This Row],[Name Surname]],[1]Manpower!$C$4:$C$1048576,[1]Manpower!$B$4:$B$1048576,"")</f>
        <v>Encogroup</v>
      </c>
      <c r="E608" s="5" t="s">
        <v>112</v>
      </c>
      <c r="F608" s="4" t="str">
        <f>_xlfn.XLOOKUP([1]!Table134526_79101120212223242526[[#This Row],[Name Surname]],[1]Manpower!C:C,[1]Manpower!D:D,)</f>
        <v>R3971143</v>
      </c>
      <c r="G608" s="5" t="str">
        <f>_xlfn.XLOOKUP([1]!Table134526_79101120212223242526[[#This Row],[Name Surname]],[1]Manpower!$C$4:$C$1048576,[1]Manpower!$F$4:$F$1048576,"")</f>
        <v>Mechanical Foreman</v>
      </c>
      <c r="H608" s="5" t="str">
        <f>_xlfn.XLOOKUP([1]!Table134526_79101120212223242526[[#This Row],[Name Surname]],[1]Manpower!$C$4:$C$1048576,[1]Manpower!$H$4:$H$1048576,"")</f>
        <v>Manpower</v>
      </c>
      <c r="I608" s="5" t="str">
        <f>_xlfn.XLOOKUP([1]!Table134526_79101120212223242526[[#This Row],[Name Surname]],[1]Manpower!$C$4:$C$1048576,[1]Manpower!$H$4:$H$1048576,"")</f>
        <v>Manpower</v>
      </c>
      <c r="J608" s="5" t="s">
        <v>38</v>
      </c>
      <c r="K608" s="5" t="s">
        <v>7</v>
      </c>
      <c r="L608" s="5" t="s">
        <v>39</v>
      </c>
      <c r="M608" s="5" t="s">
        <v>18</v>
      </c>
      <c r="N608" s="6">
        <v>10</v>
      </c>
      <c r="O608" s="5"/>
      <c r="P608" s="5"/>
      <c r="Q608" s="5"/>
      <c r="R608" s="5" t="s">
        <v>19</v>
      </c>
      <c r="S608" s="8"/>
    </row>
    <row r="609" spans="1:19" x14ac:dyDescent="0.3">
      <c r="A609" s="28" t="e">
        <f>IF(C609="","",MAX($A$2:A608)+1)</f>
        <v>#REF!</v>
      </c>
      <c r="B609" s="17" t="s">
        <v>36</v>
      </c>
      <c r="C609" s="11">
        <v>46105</v>
      </c>
      <c r="D609" s="13" t="str">
        <f>_xlfn.XLOOKUP([1]!Table134526_79101120212223242526[[#This Row],[Name Surname]],[1]Manpower!$C$4:$C$1048576,[1]Manpower!$B$4:$B$1048576,"")</f>
        <v>Encogroup</v>
      </c>
      <c r="E609" s="11" t="s">
        <v>52</v>
      </c>
      <c r="F609" s="12">
        <f>_xlfn.XLOOKUP([1]!Table134526_79101120212223242526[[#This Row],[Name Surname]],[1]Manpower!C:C,[1]Manpower!D:D,)</f>
        <v>116858297</v>
      </c>
      <c r="G609" s="13" t="str">
        <f>_xlfn.XLOOKUP([1]!Table134526_79101120212223242526[[#This Row],[Name Surname]],[1]Manpower!$C$4:$C$1048576,[1]Manpower!$F$4:$F$1048576,"")</f>
        <v>Mechanical Superintendent</v>
      </c>
      <c r="H609" s="13" t="str">
        <f>_xlfn.XLOOKUP([1]!Table134526_79101120212223242526[[#This Row],[Name Surname]],[1]Manpower!$C$4:$C$1048576,[1]Manpower!$H$4:$H$1048576,"")</f>
        <v>Manpower</v>
      </c>
      <c r="I609" s="13" t="str">
        <f>_xlfn.XLOOKUP([1]!Table134526_79101120212223242526[[#This Row],[Name Surname]],[1]Manpower!$C$4:$C$1048576,[1]Manpower!$H$4:$H$1048576,"")</f>
        <v>Manpower</v>
      </c>
      <c r="J609" s="13" t="s">
        <v>38</v>
      </c>
      <c r="K609" s="13" t="s">
        <v>7</v>
      </c>
      <c r="L609" s="13" t="s">
        <v>39</v>
      </c>
      <c r="M609" s="13" t="s">
        <v>5</v>
      </c>
      <c r="N609" s="14">
        <v>10</v>
      </c>
      <c r="O609" s="13" t="s">
        <v>11</v>
      </c>
      <c r="P609" s="13" t="s">
        <v>13</v>
      </c>
      <c r="Q609" s="13" t="s">
        <v>13</v>
      </c>
      <c r="R609" s="13" t="s">
        <v>7</v>
      </c>
      <c r="S609" s="15"/>
    </row>
    <row r="610" spans="1:19" x14ac:dyDescent="0.3">
      <c r="A610" s="29" t="e">
        <f>IF(C610="","",MAX($A$2:A609)+1)</f>
        <v>#REF!</v>
      </c>
      <c r="B610" s="17" t="s">
        <v>36</v>
      </c>
      <c r="C610" s="3">
        <v>46105</v>
      </c>
      <c r="D610" s="5" t="str">
        <f>_xlfn.XLOOKUP([1]!Table134526_79101120212223242526[[#This Row],[Name Surname]],[1]Manpower!$C$4:$C$1048576,[1]Manpower!$B$4:$B$1048576,"")</f>
        <v>Encogroup</v>
      </c>
      <c r="E610" s="5" t="s">
        <v>53</v>
      </c>
      <c r="F610" s="4">
        <f>_xlfn.XLOOKUP([1]!Table134526_79101120212223242526[[#This Row],[Name Surname]],[1]Manpower!C:C,[1]Manpower!D:D,)</f>
        <v>123805496</v>
      </c>
      <c r="G610" s="5" t="str">
        <f>_xlfn.XLOOKUP([1]!Table134526_79101120212223242526[[#This Row],[Name Surname]],[1]Manpower!$C$4:$C$1048576,[1]Manpower!$F$4:$F$1048576,"")</f>
        <v>Fitter/Erector</v>
      </c>
      <c r="H610" s="5" t="str">
        <f>_xlfn.XLOOKUP([1]!Table134526_79101120212223242526[[#This Row],[Name Surname]],[1]Manpower!$C$4:$C$1048576,[1]Manpower!$H$4:$H$1048576,"")</f>
        <v>Manpower</v>
      </c>
      <c r="I610" s="5" t="str">
        <f>_xlfn.XLOOKUP([1]!Table134526_79101120212223242526[[#This Row],[Name Surname]],[1]Manpower!$C$4:$C$1048576,[1]Manpower!$H$4:$H$1048576,"")</f>
        <v>Manpower</v>
      </c>
      <c r="J610" s="5" t="s">
        <v>38</v>
      </c>
      <c r="K610" s="5" t="s">
        <v>7</v>
      </c>
      <c r="L610" s="5" t="s">
        <v>39</v>
      </c>
      <c r="M610" s="5" t="s">
        <v>5</v>
      </c>
      <c r="N610" s="6">
        <v>10</v>
      </c>
      <c r="O610" s="5" t="s">
        <v>33</v>
      </c>
      <c r="P610" s="5" t="s">
        <v>33</v>
      </c>
      <c r="Q610" s="5" t="s">
        <v>33</v>
      </c>
      <c r="R610" s="5" t="s">
        <v>7</v>
      </c>
      <c r="S610" s="8"/>
    </row>
    <row r="611" spans="1:19" x14ac:dyDescent="0.3">
      <c r="A611" s="28" t="e">
        <f>IF(C611="","",MAX($A$2:A610)+1)</f>
        <v>#REF!</v>
      </c>
      <c r="B611" s="17" t="s">
        <v>36</v>
      </c>
      <c r="C611" s="11">
        <v>46105</v>
      </c>
      <c r="D611" s="13" t="str">
        <f>_xlfn.XLOOKUP([1]!Table134526_79101120212223242526[[#This Row],[Name Surname]],[1]Manpower!$C$4:$C$1048576,[1]Manpower!$B$4:$B$1048576,"")</f>
        <v>Encogroup</v>
      </c>
      <c r="E611" s="13" t="s">
        <v>54</v>
      </c>
      <c r="F611" s="12">
        <f>_xlfn.XLOOKUP([1]!Table134526_79101120212223242526[[#This Row],[Name Surname]],[1]Manpower!C:C,[1]Manpower!D:D,)</f>
        <v>136277866</v>
      </c>
      <c r="G611" s="13" t="str">
        <f>_xlfn.XLOOKUP([1]!Table134526_79101120212223242526[[#This Row],[Name Surname]],[1]Manpower!$C$4:$C$1048576,[1]Manpower!$F$4:$F$1048576,"")</f>
        <v>Permit Receiver</v>
      </c>
      <c r="H611" s="13" t="str">
        <f>_xlfn.XLOOKUP([1]!Table134526_79101120212223242526[[#This Row],[Name Surname]],[1]Manpower!$C$4:$C$1048576,[1]Manpower!$H$4:$H$1048576,"")</f>
        <v>Manpower</v>
      </c>
      <c r="I611" s="13" t="str">
        <f>_xlfn.XLOOKUP([1]!Table134526_79101120212223242526[[#This Row],[Name Surname]],[1]Manpower!$C$4:$C$1048576,[1]Manpower!$H$4:$H$1048576,"")</f>
        <v>Manpower</v>
      </c>
      <c r="J611" s="13" t="s">
        <v>38</v>
      </c>
      <c r="K611" s="13" t="s">
        <v>7</v>
      </c>
      <c r="L611" s="13" t="s">
        <v>39</v>
      </c>
      <c r="M611" s="13" t="s">
        <v>5</v>
      </c>
      <c r="N611" s="14">
        <v>10</v>
      </c>
      <c r="O611" s="13" t="s">
        <v>33</v>
      </c>
      <c r="P611" s="13" t="s">
        <v>33</v>
      </c>
      <c r="Q611" s="13" t="s">
        <v>33</v>
      </c>
      <c r="R611" s="13" t="s">
        <v>7</v>
      </c>
      <c r="S611" s="15"/>
    </row>
    <row r="612" spans="1:19" x14ac:dyDescent="0.3">
      <c r="A612" s="29" t="e">
        <f>IF(C612="","",MAX($A$2:A611)+1)</f>
        <v>#REF!</v>
      </c>
      <c r="B612" s="17" t="s">
        <v>36</v>
      </c>
      <c r="C612" s="3">
        <v>46105</v>
      </c>
      <c r="D612" s="5" t="str">
        <f>_xlfn.XLOOKUP([1]!Table134526_79101120212223242526[[#This Row],[Name Surname]],[1]Manpower!$C$4:$C$1048576,[1]Manpower!$B$4:$B$1048576,"")</f>
        <v>Encogroup</v>
      </c>
      <c r="E612" s="5" t="s">
        <v>55</v>
      </c>
      <c r="F612" s="4">
        <f>_xlfn.XLOOKUP([1]!Table134526_79101120212223242526[[#This Row],[Name Surname]],[1]Manpower!C:C,[1]Manpower!D:D,)</f>
        <v>120653364</v>
      </c>
      <c r="G612" s="5" t="str">
        <f>_xlfn.XLOOKUP([1]!Table134526_79101120212223242526[[#This Row],[Name Surname]],[1]Manpower!$C$4:$C$1048576,[1]Manpower!$F$4:$F$1048576,"")</f>
        <v>Surveyor</v>
      </c>
      <c r="H612" s="5" t="str">
        <f>_xlfn.XLOOKUP([1]!Table134526_79101120212223242526[[#This Row],[Name Surname]],[1]Manpower!$C$4:$C$1048576,[1]Manpower!$H$4:$H$1048576,"")</f>
        <v>Manpower</v>
      </c>
      <c r="I612" s="5" t="str">
        <f>_xlfn.XLOOKUP([1]!Table134526_79101120212223242526[[#This Row],[Name Surname]],[1]Manpower!$C$4:$C$1048576,[1]Manpower!$H$4:$H$1048576,"")</f>
        <v>Manpower</v>
      </c>
      <c r="J612" s="5" t="s">
        <v>38</v>
      </c>
      <c r="K612" s="5" t="s">
        <v>7</v>
      </c>
      <c r="L612" s="5" t="s">
        <v>39</v>
      </c>
      <c r="M612" s="5" t="s">
        <v>5</v>
      </c>
      <c r="N612" s="6">
        <v>10</v>
      </c>
      <c r="O612" s="5" t="s">
        <v>33</v>
      </c>
      <c r="P612" s="5" t="s">
        <v>33</v>
      </c>
      <c r="Q612" s="5" t="s">
        <v>33</v>
      </c>
      <c r="R612" s="5" t="s">
        <v>7</v>
      </c>
      <c r="S612" s="8"/>
    </row>
    <row r="613" spans="1:19" x14ac:dyDescent="0.3">
      <c r="A613" s="28" t="e">
        <f>IF(C613="","",MAX($A$2:A612)+1)</f>
        <v>#REF!</v>
      </c>
      <c r="B613" s="17" t="s">
        <v>36</v>
      </c>
      <c r="C613" s="11">
        <v>46105</v>
      </c>
      <c r="D613" s="13" t="str">
        <f>_xlfn.XLOOKUP([1]!Table134526_79101120212223242526[[#This Row],[Name Surname]],[1]Manpower!$C$4:$C$1048576,[1]Manpower!$B$4:$B$1048576,"")</f>
        <v>Encogroup</v>
      </c>
      <c r="E613" s="13" t="s">
        <v>56</v>
      </c>
      <c r="F613" s="12">
        <f>_xlfn.XLOOKUP([1]!Table134526_79101120212223242526[[#This Row],[Name Surname]],[1]Manpower!C:C,[1]Manpower!D:D,)</f>
        <v>140663253</v>
      </c>
      <c r="G613" s="13" t="str">
        <f>_xlfn.XLOOKUP([1]!Table134526_79101120212223242526[[#This Row],[Name Surname]],[1]Manpower!$C$4:$C$1048576,[1]Manpower!$F$4:$F$1048576,"")</f>
        <v>Painting Inspector</v>
      </c>
      <c r="H613" s="13" t="str">
        <f>_xlfn.XLOOKUP([1]!Table134526_79101120212223242526[[#This Row],[Name Surname]],[1]Manpower!$C$4:$C$1048576,[1]Manpower!$H$4:$H$1048576,"")</f>
        <v>Manpower</v>
      </c>
      <c r="I613" s="13" t="str">
        <f>_xlfn.XLOOKUP([1]!Table134526_79101120212223242526[[#This Row],[Name Surname]],[1]Manpower!$C$4:$C$1048576,[1]Manpower!$H$4:$H$1048576,"")</f>
        <v>Manpower</v>
      </c>
      <c r="J613" s="13" t="s">
        <v>38</v>
      </c>
      <c r="K613" s="13" t="s">
        <v>7</v>
      </c>
      <c r="L613" s="13" t="s">
        <v>39</v>
      </c>
      <c r="M613" s="13" t="s">
        <v>5</v>
      </c>
      <c r="N613" s="14">
        <v>10</v>
      </c>
      <c r="O613" s="13" t="s">
        <v>33</v>
      </c>
      <c r="P613" s="13" t="s">
        <v>33</v>
      </c>
      <c r="Q613" s="13" t="s">
        <v>33</v>
      </c>
      <c r="R613" s="13" t="s">
        <v>7</v>
      </c>
      <c r="S613" s="15"/>
    </row>
    <row r="614" spans="1:19" x14ac:dyDescent="0.3">
      <c r="A614" s="29" t="e">
        <f>IF(C614="","",MAX($A$2:A613)+1)</f>
        <v>#REF!</v>
      </c>
      <c r="B614" s="17" t="s">
        <v>36</v>
      </c>
      <c r="C614" s="3">
        <v>46105</v>
      </c>
      <c r="D614" s="5" t="str">
        <f>_xlfn.XLOOKUP([1]!Table134526_79101120212223242526[[#This Row],[Name Surname]],[1]Manpower!$C$4:$C$1048576,[1]Manpower!$B$4:$B$1048576,"")</f>
        <v>Encogroup</v>
      </c>
      <c r="E614" s="5" t="s">
        <v>111</v>
      </c>
      <c r="F614" s="4">
        <f>_xlfn.XLOOKUP([1]!Table134526_79101120212223242526[[#This Row],[Name Surname]],[1]Manpower!C:C,[1]Manpower!D:D,)</f>
        <v>140844604</v>
      </c>
      <c r="G614" s="5" t="str">
        <f>_xlfn.XLOOKUP([1]!Table134526_79101120212223242526[[#This Row],[Name Surname]],[1]Manpower!$C$4:$C$1048576,[1]Manpower!$F$4:$F$1048576,"")</f>
        <v>Painter</v>
      </c>
      <c r="H614" s="5" t="str">
        <f>_xlfn.XLOOKUP([1]!Table134526_79101120212223242526[[#This Row],[Name Surname]],[1]Manpower!$C$4:$C$1048576,[1]Manpower!$H$4:$H$1048576,"")</f>
        <v>Manpower</v>
      </c>
      <c r="I614" s="5" t="str">
        <f>_xlfn.XLOOKUP([1]!Table134526_79101120212223242526[[#This Row],[Name Surname]],[1]Manpower!$C$4:$C$1048576,[1]Manpower!$H$4:$H$1048576,"")</f>
        <v>Manpower</v>
      </c>
      <c r="J614" s="5" t="s">
        <v>38</v>
      </c>
      <c r="K614" s="5" t="s">
        <v>7</v>
      </c>
      <c r="L614" s="5" t="s">
        <v>39</v>
      </c>
      <c r="M614" s="5" t="s">
        <v>18</v>
      </c>
      <c r="N614" s="6">
        <v>10</v>
      </c>
      <c r="O614" s="5"/>
      <c r="P614" s="5"/>
      <c r="Q614" s="5"/>
      <c r="R614" s="5" t="s">
        <v>19</v>
      </c>
      <c r="S614" s="8"/>
    </row>
    <row r="615" spans="1:19" x14ac:dyDescent="0.3">
      <c r="A615" s="28" t="e">
        <f>IF(C615="","",MAX($A$2:A613)+1)</f>
        <v>#REF!</v>
      </c>
      <c r="B615" s="17" t="s">
        <v>36</v>
      </c>
      <c r="C615" s="11">
        <v>46105</v>
      </c>
      <c r="D615" s="13" t="str">
        <f>_xlfn.XLOOKUP([1]!Table134526_79101120212223242526[[#This Row],[Name Surname]],[1]Manpower!$C$4:$C$1048576,[1]Manpower!$B$4:$B$1048576,"")</f>
        <v>Encogroup</v>
      </c>
      <c r="E615" s="13" t="s">
        <v>112</v>
      </c>
      <c r="F615" s="12">
        <f>_xlfn.XLOOKUP([1]!Table134526_79101120212223242526[[#This Row],[Name Surname]],[1]Manpower!C:C,[1]Manpower!D:D,)</f>
        <v>140844783</v>
      </c>
      <c r="G615" s="13" t="str">
        <f>_xlfn.XLOOKUP([1]!Table134526_79101120212223242526[[#This Row],[Name Surname]],[1]Manpower!$C$4:$C$1048576,[1]Manpower!$F$4:$F$1048576,"")</f>
        <v>Painter</v>
      </c>
      <c r="H615" s="13" t="str">
        <f>_xlfn.XLOOKUP([1]!Table134526_79101120212223242526[[#This Row],[Name Surname]],[1]Manpower!$C$4:$C$1048576,[1]Manpower!$H$4:$H$1048576,"")</f>
        <v>Manpower</v>
      </c>
      <c r="I615" s="13" t="str">
        <f>_xlfn.XLOOKUP([1]!Table134526_79101120212223242526[[#This Row],[Name Surname]],[1]Manpower!$C$4:$C$1048576,[1]Manpower!$H$4:$H$1048576,"")</f>
        <v>Manpower</v>
      </c>
      <c r="J615" s="13" t="s">
        <v>38</v>
      </c>
      <c r="K615" s="13" t="s">
        <v>7</v>
      </c>
      <c r="L615" s="13" t="s">
        <v>39</v>
      </c>
      <c r="M615" s="13" t="s">
        <v>18</v>
      </c>
      <c r="N615" s="14">
        <v>10</v>
      </c>
      <c r="O615" s="13"/>
      <c r="P615" s="13"/>
      <c r="Q615" s="13"/>
      <c r="R615" s="13" t="s">
        <v>19</v>
      </c>
      <c r="S615" s="15"/>
    </row>
    <row r="616" spans="1:19" x14ac:dyDescent="0.3">
      <c r="A616" s="29" t="e">
        <f>IF(C616="","",MAX($A$2:A613)+1)</f>
        <v>#REF!</v>
      </c>
      <c r="B616" s="17" t="s">
        <v>36</v>
      </c>
      <c r="C616" s="3">
        <v>46105</v>
      </c>
      <c r="D616" s="5" t="str">
        <f>_xlfn.XLOOKUP([1]!Table134526_79101120212223242526[[#This Row],[Name Surname]],[1]Manpower!$C$4:$C$1048576,[1]Manpower!$B$4:$B$1048576,"")</f>
        <v>Encogroup</v>
      </c>
      <c r="E616" s="5" t="s">
        <v>123</v>
      </c>
      <c r="F616" s="4" t="str">
        <f>_xlfn.XLOOKUP([1]!Table134526_79101120212223242526[[#This Row],[Name Surname]],[1]Manpower!C:C,[1]Manpower!D:D,)</f>
        <v>AG111207</v>
      </c>
      <c r="G616" s="5" t="str">
        <f>_xlfn.XLOOKUP([1]!Table134526_79101120212223242526[[#This Row],[Name Surname]],[1]Manpower!$C$4:$C$1048576,[1]Manpower!$F$4:$F$1048576,"")</f>
        <v>Assistant/Helper</v>
      </c>
      <c r="H616" s="5" t="str">
        <f>_xlfn.XLOOKUP([1]!Table134526_79101120212223242526[[#This Row],[Name Surname]],[1]Manpower!$C$4:$C$1048576,[1]Manpower!$H$4:$H$1048576,"")</f>
        <v>Manpower</v>
      </c>
      <c r="I616" s="5" t="str">
        <f>_xlfn.XLOOKUP([1]!Table134526_79101120212223242526[[#This Row],[Name Surname]],[1]Manpower!$C$4:$C$1048576,[1]Manpower!$H$4:$H$1048576,"")</f>
        <v>Manpower</v>
      </c>
      <c r="J616" s="5" t="s">
        <v>38</v>
      </c>
      <c r="K616" s="5" t="s">
        <v>7</v>
      </c>
      <c r="L616" s="5" t="s">
        <v>39</v>
      </c>
      <c r="M616" s="5" t="s">
        <v>18</v>
      </c>
      <c r="N616" s="6">
        <v>5</v>
      </c>
      <c r="O616" s="5"/>
      <c r="P616" s="5"/>
      <c r="Q616" s="5"/>
      <c r="R616" s="5" t="s">
        <v>7</v>
      </c>
      <c r="S616" s="8"/>
    </row>
    <row r="617" spans="1:19" x14ac:dyDescent="0.3">
      <c r="A617" s="28" t="e">
        <f>IF(C617="","",MAX($A$2:A612)+1)</f>
        <v>#REF!</v>
      </c>
      <c r="B617" s="17" t="s">
        <v>36</v>
      </c>
      <c r="C617" s="11">
        <v>46105</v>
      </c>
      <c r="D617" s="13" t="str">
        <f>_xlfn.XLOOKUP([1]!Table134526_79101120212223242526[[#This Row],[Name Surname]],[1]Manpower!$C$4:$C$1048576,[1]Manpower!$B$4:$B$1048576,"")</f>
        <v>Encogroup</v>
      </c>
      <c r="E617" s="13" t="s">
        <v>57</v>
      </c>
      <c r="F617" s="12">
        <f>_xlfn.XLOOKUP([1]!Table134526_79101120212223242526[[#This Row],[Name Surname]],[1]Manpower!C:C,[1]Manpower!D:D,)</f>
        <v>140844778</v>
      </c>
      <c r="G617" s="13" t="str">
        <f>_xlfn.XLOOKUP([1]!Table134526_79101120212223242526[[#This Row],[Name Surname]],[1]Manpower!$C$4:$C$1048576,[1]Manpower!$F$4:$F$1048576,"")</f>
        <v>Painter</v>
      </c>
      <c r="H617" s="13" t="str">
        <f>_xlfn.XLOOKUP([1]!Table134526_79101120212223242526[[#This Row],[Name Surname]],[1]Manpower!$C$4:$C$1048576,[1]Manpower!$H$4:$H$1048576,"")</f>
        <v>Manpower</v>
      </c>
      <c r="I617" s="13" t="str">
        <f>_xlfn.XLOOKUP([1]!Table134526_79101120212223242526[[#This Row],[Name Surname]],[1]Manpower!$C$4:$C$1048576,[1]Manpower!$H$4:$H$1048576,"")</f>
        <v>Manpower</v>
      </c>
      <c r="J617" s="13" t="s">
        <v>38</v>
      </c>
      <c r="K617" s="13" t="s">
        <v>7</v>
      </c>
      <c r="L617" s="13" t="s">
        <v>39</v>
      </c>
      <c r="M617" s="13" t="s">
        <v>5</v>
      </c>
      <c r="N617" s="14">
        <v>10</v>
      </c>
      <c r="O617" s="13" t="s">
        <v>11</v>
      </c>
      <c r="P617" s="13" t="s">
        <v>13</v>
      </c>
      <c r="Q617" s="13" t="s">
        <v>13</v>
      </c>
      <c r="R617" s="13" t="s">
        <v>7</v>
      </c>
      <c r="S617" s="15"/>
    </row>
    <row r="618" spans="1:19" x14ac:dyDescent="0.3">
      <c r="A618" s="29" t="e">
        <f>IF(C618="","",MAX($A$2:A617)+1)</f>
        <v>#REF!</v>
      </c>
      <c r="B618" s="17" t="s">
        <v>36</v>
      </c>
      <c r="C618" s="3">
        <v>46105</v>
      </c>
      <c r="D618" s="5" t="str">
        <f>_xlfn.XLOOKUP([1]!Table134526_79101120212223242526[[#This Row],[Name Surname]],[1]Manpower!$C$4:$C$1048576,[1]Manpower!$B$4:$B$1048576,"")</f>
        <v>Encogroup</v>
      </c>
      <c r="E618" s="3" t="s">
        <v>58</v>
      </c>
      <c r="F618" s="4">
        <f>_xlfn.XLOOKUP([1]!Table134526_79101120212223242526[[#This Row],[Name Surname]],[1]Manpower!C:C,[1]Manpower!D:D,)</f>
        <v>141365037</v>
      </c>
      <c r="G618" s="5" t="str">
        <f>_xlfn.XLOOKUP([1]!Table134526_79101120212223242526[[#This Row],[Name Surname]],[1]Manpower!$C$4:$C$1048576,[1]Manpower!$F$4:$F$1048576,"")</f>
        <v>Painter</v>
      </c>
      <c r="H618" s="5" t="str">
        <f>_xlfn.XLOOKUP([1]!Table134526_79101120212223242526[[#This Row],[Name Surname]],[1]Manpower!$C$4:$C$1048576,[1]Manpower!$H$4:$H$1048576,"")</f>
        <v>Manpower</v>
      </c>
      <c r="I618" s="5" t="str">
        <f>_xlfn.XLOOKUP([1]!Table134526_79101120212223242526[[#This Row],[Name Surname]],[1]Manpower!$C$4:$C$1048576,[1]Manpower!$H$4:$H$1048576,"")</f>
        <v>Manpower</v>
      </c>
      <c r="J618" s="5" t="s">
        <v>38</v>
      </c>
      <c r="K618" s="5" t="s">
        <v>7</v>
      </c>
      <c r="L618" s="5" t="s">
        <v>39</v>
      </c>
      <c r="M618" s="5" t="s">
        <v>18</v>
      </c>
      <c r="N618" s="6">
        <v>10</v>
      </c>
      <c r="O618" s="5"/>
      <c r="P618" s="5"/>
      <c r="Q618" s="5"/>
      <c r="R618" s="5" t="s">
        <v>19</v>
      </c>
      <c r="S618" s="8"/>
    </row>
    <row r="619" spans="1:19" x14ac:dyDescent="0.3">
      <c r="A619" s="28" t="e">
        <f>IF(C619="","",MAX($A$2:A618)+1)</f>
        <v>#REF!</v>
      </c>
      <c r="B619" s="17" t="s">
        <v>36</v>
      </c>
      <c r="C619" s="11">
        <v>46105</v>
      </c>
      <c r="D619" s="13" t="str">
        <f>_xlfn.XLOOKUP([1]!Table134526_79101120212223242526[[#This Row],[Name Surname]],[1]Manpower!$C$4:$C$1048576,[1]Manpower!$B$4:$B$1048576,"")</f>
        <v>Encogroup</v>
      </c>
      <c r="E619" s="11" t="s">
        <v>59</v>
      </c>
      <c r="F619" s="12">
        <f>_xlfn.XLOOKUP([1]!Table134526_79101120212223242526[[#This Row],[Name Surname]],[1]Manpower!C:C,[1]Manpower!D:D,)</f>
        <v>141377709</v>
      </c>
      <c r="G619" s="13" t="str">
        <f>_xlfn.XLOOKUP([1]!Table134526_79101120212223242526[[#This Row],[Name Surname]],[1]Manpower!$C$4:$C$1048576,[1]Manpower!$F$4:$F$1048576,"")</f>
        <v>Helper</v>
      </c>
      <c r="H619" s="13" t="str">
        <f>_xlfn.XLOOKUP([1]!Table134526_79101120212223242526[[#This Row],[Name Surname]],[1]Manpower!$C$4:$C$1048576,[1]Manpower!$H$4:$H$1048576,"")</f>
        <v>Manpower</v>
      </c>
      <c r="I619" s="13" t="str">
        <f>_xlfn.XLOOKUP([1]!Table134526_79101120212223242526[[#This Row],[Name Surname]],[1]Manpower!$C$4:$C$1048576,[1]Manpower!$H$4:$H$1048576,"")</f>
        <v>Manpower</v>
      </c>
      <c r="J619" s="13" t="s">
        <v>38</v>
      </c>
      <c r="K619" s="13" t="s">
        <v>7</v>
      </c>
      <c r="L619" s="13" t="s">
        <v>39</v>
      </c>
      <c r="M619" s="13" t="s">
        <v>18</v>
      </c>
      <c r="N619" s="14">
        <v>10</v>
      </c>
      <c r="O619" s="13"/>
      <c r="P619" s="13"/>
      <c r="Q619" s="13"/>
      <c r="R619" s="13" t="s">
        <v>19</v>
      </c>
      <c r="S619" s="15"/>
    </row>
    <row r="620" spans="1:19" x14ac:dyDescent="0.3">
      <c r="A620" s="29" t="e">
        <f>IF(C620="","",MAX($A$2:A619)+1)</f>
        <v>#REF!</v>
      </c>
      <c r="B620" s="2" t="s">
        <v>0</v>
      </c>
      <c r="C620" s="3">
        <v>46106</v>
      </c>
      <c r="D620" s="5" t="str">
        <f>_xlfn.XLOOKUP([1]!Table134526_79101120212223242526[[#This Row],[Name Surname]],[1]Manpower!$C$4:$C$1048576,[1]Manpower!$B$4:$B$1048576,"")</f>
        <v>Encogroup</v>
      </c>
      <c r="E620" s="5" t="s">
        <v>129</v>
      </c>
      <c r="F620" s="4">
        <f>_xlfn.XLOOKUP([1]!Table134526_79101120212223242526[[#This Row],[Name Surname]],[1]Manpower!C:C,[1]Manpower!D:D,)</f>
        <v>140805554</v>
      </c>
      <c r="G620" s="5" t="str">
        <f>_xlfn.XLOOKUP([1]!Table134526_79101120212223242526[[#This Row],[Name Surname]],[1]Manpower!$C$4:$C$1048576,[1]Manpower!$F$4:$F$1048576,"")</f>
        <v>Assistant/Helper</v>
      </c>
      <c r="H620" s="5" t="str">
        <f>_xlfn.XLOOKUP([1]!Table134526_79101120212223242526[[#This Row],[Name Surname]],[1]Manpower!$C$4:$C$1048576,[1]Manpower!$H$4:$H$1048576,"")</f>
        <v>Manpower</v>
      </c>
      <c r="I620" s="5" t="str">
        <f>_xlfn.XLOOKUP([1]!Table134526_79101120212223242526[[#This Row],[Name Surname]],[1]Manpower!$C$4:$C$1048576,[1]Manpower!$H$4:$H$1048576,"")</f>
        <v>Manpower</v>
      </c>
      <c r="J620" s="5" t="s">
        <v>2</v>
      </c>
      <c r="K620" s="5" t="s">
        <v>39</v>
      </c>
      <c r="L620" s="5" t="s">
        <v>10</v>
      </c>
      <c r="M620" s="5" t="s">
        <v>18</v>
      </c>
      <c r="N620" s="6">
        <v>5</v>
      </c>
      <c r="O620" s="5" t="s">
        <v>11</v>
      </c>
      <c r="P620" s="5" t="s">
        <v>12</v>
      </c>
      <c r="Q620" s="5" t="s">
        <v>13</v>
      </c>
      <c r="R620" s="5" t="s">
        <v>144</v>
      </c>
      <c r="S620" s="8"/>
    </row>
    <row r="621" spans="1:19" x14ac:dyDescent="0.3">
      <c r="A621" s="28" t="e">
        <f>IF(C621="","",MAX($A$2:A620)+1)</f>
        <v>#REF!</v>
      </c>
      <c r="B621" s="2" t="s">
        <v>0</v>
      </c>
      <c r="C621" s="11">
        <v>46106</v>
      </c>
      <c r="D621" s="13" t="str">
        <f>_xlfn.XLOOKUP([1]!Table134526_79101120212223242526[[#This Row],[Name Surname]],[1]Manpower!$C$4:$C$1048576,[1]Manpower!$B$4:$B$1048576,"")</f>
        <v>Encogroup</v>
      </c>
      <c r="E621" s="13" t="s">
        <v>1</v>
      </c>
      <c r="F621" s="12">
        <f>_xlfn.XLOOKUP([1]!Table134526_79101120212223242526[[#This Row],[Name Surname]],[1]Manpower!C:C,[1]Manpower!D:D,)</f>
        <v>141169033</v>
      </c>
      <c r="G621" s="13" t="str">
        <f>_xlfn.XLOOKUP([1]!Table134526_79101120212223242526[[#This Row],[Name Surname]],[1]Manpower!$C$4:$C$1048576,[1]Manpower!$F$4:$F$1048576,"")</f>
        <v>Welder</v>
      </c>
      <c r="H621" s="13" t="str">
        <f>_xlfn.XLOOKUP([1]!Table134526_79101120212223242526[[#This Row],[Name Surname]],[1]Manpower!$C$4:$C$1048576,[1]Manpower!$H$4:$H$1048576,"")</f>
        <v>Manpower</v>
      </c>
      <c r="I621" s="13" t="str">
        <f>_xlfn.XLOOKUP([1]!Table134526_79101120212223242526[[#This Row],[Name Surname]],[1]Manpower!$C$4:$C$1048576,[1]Manpower!$H$4:$H$1048576,"")</f>
        <v>Manpower</v>
      </c>
      <c r="J621" s="13" t="s">
        <v>2</v>
      </c>
      <c r="K621" s="13" t="s">
        <v>39</v>
      </c>
      <c r="L621" s="13" t="s">
        <v>10</v>
      </c>
      <c r="M621" s="13" t="s">
        <v>18</v>
      </c>
      <c r="N621" s="14">
        <v>2</v>
      </c>
      <c r="O621" s="13" t="s">
        <v>11</v>
      </c>
      <c r="P621" s="13" t="s">
        <v>12</v>
      </c>
      <c r="Q621" s="13" t="s">
        <v>13</v>
      </c>
      <c r="R621" s="13" t="s">
        <v>144</v>
      </c>
      <c r="S621" s="15"/>
    </row>
    <row r="622" spans="1:19" x14ac:dyDescent="0.3">
      <c r="A622" s="29" t="e">
        <f>IF(C622="","",MAX($A$2:A621)+1)</f>
        <v>#REF!</v>
      </c>
      <c r="B622" s="2" t="s">
        <v>0</v>
      </c>
      <c r="C622" s="3">
        <v>46106</v>
      </c>
      <c r="D622" s="5" t="str">
        <f>_xlfn.XLOOKUP([1]!Table134526_79101120212223242526[[#This Row],[Name Surname]],[1]Manpower!$C$4:$C$1048576,[1]Manpower!$B$4:$B$1048576,"")</f>
        <v>Encogroup</v>
      </c>
      <c r="E622" s="5" t="s">
        <v>46</v>
      </c>
      <c r="F622" s="4">
        <f>_xlfn.XLOOKUP([1]!Table134526_79101120212223242526[[#This Row],[Name Surname]],[1]Manpower!C:C,[1]Manpower!D:D,)</f>
        <v>141169028</v>
      </c>
      <c r="G622" s="5" t="str">
        <f>_xlfn.XLOOKUP([1]!Table134526_79101120212223242526[[#This Row],[Name Surname]],[1]Manpower!$C$4:$C$1048576,[1]Manpower!$F$4:$F$1048576,"")</f>
        <v>Welder</v>
      </c>
      <c r="H622" s="5" t="str">
        <f>_xlfn.XLOOKUP([1]!Table134526_79101120212223242526[[#This Row],[Name Surname]],[1]Manpower!$C$4:$C$1048576,[1]Manpower!$H$4:$H$1048576,"")</f>
        <v>Manpower</v>
      </c>
      <c r="I622" s="5" t="str">
        <f>_xlfn.XLOOKUP([1]!Table134526_79101120212223242526[[#This Row],[Name Surname]],[1]Manpower!$C$4:$C$1048576,[1]Manpower!$H$4:$H$1048576,"")</f>
        <v>Manpower</v>
      </c>
      <c r="J622" s="5" t="s">
        <v>2</v>
      </c>
      <c r="K622" s="5" t="s">
        <v>39</v>
      </c>
      <c r="L622" s="5" t="s">
        <v>10</v>
      </c>
      <c r="M622" s="5" t="s">
        <v>18</v>
      </c>
      <c r="N622" s="6">
        <v>5</v>
      </c>
      <c r="O622" s="5" t="s">
        <v>11</v>
      </c>
      <c r="P622" s="5" t="s">
        <v>12</v>
      </c>
      <c r="Q622" s="5" t="s">
        <v>13</v>
      </c>
      <c r="R622" s="5" t="s">
        <v>144</v>
      </c>
      <c r="S622" s="8"/>
    </row>
    <row r="623" spans="1:19" x14ac:dyDescent="0.3">
      <c r="A623" s="28" t="e">
        <f>IF(C623="","",MAX($A$2:A622)+1)</f>
        <v>#REF!</v>
      </c>
      <c r="B623" s="10" t="s">
        <v>0</v>
      </c>
      <c r="C623" s="11">
        <v>46106</v>
      </c>
      <c r="D623" s="13" t="str">
        <f>_xlfn.XLOOKUP([1]!Table134526_79101120212223242526[[#This Row],[Name Surname]],[1]Manpower!$C$4:$C$1048576,[1]Manpower!$B$4:$B$1048576,"")</f>
        <v>Encogroup</v>
      </c>
      <c r="E623" s="11" t="s">
        <v>61</v>
      </c>
      <c r="F623" s="12">
        <f>_xlfn.XLOOKUP([1]!Table134526_79101120212223242526[[#This Row],[Name Surname]],[1]Manpower!C:C,[1]Manpower!D:D,)</f>
        <v>140805568</v>
      </c>
      <c r="G623" s="13" t="str">
        <f>_xlfn.XLOOKUP([1]!Table134526_79101120212223242526[[#This Row],[Name Surname]],[1]Manpower!$C$4:$C$1048576,[1]Manpower!$F$4:$F$1048576,"")</f>
        <v>Assistant/Helper</v>
      </c>
      <c r="H623" s="13" t="str">
        <f>_xlfn.XLOOKUP([1]!Table134526_79101120212223242526[[#This Row],[Name Surname]],[1]Manpower!$C$4:$C$1048576,[1]Manpower!$H$4:$H$1048576,"")</f>
        <v>Manpower</v>
      </c>
      <c r="I623" s="13" t="str">
        <f>_xlfn.XLOOKUP([1]!Table134526_79101120212223242526[[#This Row],[Name Surname]],[1]Manpower!$C$4:$C$1048576,[1]Manpower!$H$4:$H$1048576,"")</f>
        <v>Manpower</v>
      </c>
      <c r="J623" s="13" t="s">
        <v>9</v>
      </c>
      <c r="K623" s="13" t="s">
        <v>7</v>
      </c>
      <c r="L623" s="13" t="s">
        <v>10</v>
      </c>
      <c r="M623" s="13" t="s">
        <v>18</v>
      </c>
      <c r="N623" s="14">
        <v>5</v>
      </c>
      <c r="O623" s="13" t="s">
        <v>11</v>
      </c>
      <c r="P623" s="13" t="s">
        <v>12</v>
      </c>
      <c r="Q623" s="13" t="s">
        <v>13</v>
      </c>
      <c r="R623" s="13" t="s">
        <v>145</v>
      </c>
      <c r="S623" s="15"/>
    </row>
    <row r="624" spans="1:19" x14ac:dyDescent="0.3">
      <c r="A624" s="29" t="e">
        <f>IF(C624="","",MAX($A$2:A623)+1)</f>
        <v>#REF!</v>
      </c>
      <c r="B624" s="10" t="s">
        <v>0</v>
      </c>
      <c r="C624" s="3">
        <v>46106</v>
      </c>
      <c r="D624" s="5" t="str">
        <f>_xlfn.XLOOKUP([1]!Table134526_79101120212223242526[[#This Row],[Name Surname]],[1]Manpower!$C$4:$C$1048576,[1]Manpower!$B$4:$B$1048576,"")</f>
        <v>AL Saif &amp; Al QALLM ENT LLC</v>
      </c>
      <c r="E624" s="5" t="s">
        <v>8</v>
      </c>
      <c r="F624" s="4">
        <f>_xlfn.XLOOKUP([1]!Table134526_79101120212223242526[[#This Row],[Name Surname]],[1]Manpower!C:C,[1]Manpower!D:D,)</f>
        <v>76647648</v>
      </c>
      <c r="G624" s="5" t="str">
        <f>_xlfn.XLOOKUP([1]!Table134526_79101120212223242526[[#This Row],[Name Surname]],[1]Manpower!$C$4:$C$1048576,[1]Manpower!$F$4:$F$1048576,"")</f>
        <v>RIgger</v>
      </c>
      <c r="H624" s="5" t="str">
        <f>_xlfn.XLOOKUP([1]!Table134526_79101120212223242526[[#This Row],[Name Surname]],[1]Manpower!$C$4:$C$1048576,[1]Manpower!$H$4:$H$1048576,"")</f>
        <v>Sub Contactor</v>
      </c>
      <c r="I624" s="5" t="str">
        <f>_xlfn.XLOOKUP([1]!Table134526_79101120212223242526[[#This Row],[Name Surname]],[1]Manpower!$C$4:$C$1048576,[1]Manpower!$H$4:$H$1048576,"")</f>
        <v>Sub Contactor</v>
      </c>
      <c r="J624" s="5" t="s">
        <v>9</v>
      </c>
      <c r="K624" s="5" t="s">
        <v>7</v>
      </c>
      <c r="L624" s="5" t="s">
        <v>10</v>
      </c>
      <c r="M624" s="5" t="s">
        <v>18</v>
      </c>
      <c r="N624" s="6">
        <v>5</v>
      </c>
      <c r="O624" s="5" t="s">
        <v>11</v>
      </c>
      <c r="P624" s="5" t="s">
        <v>12</v>
      </c>
      <c r="Q624" s="5" t="s">
        <v>13</v>
      </c>
      <c r="R624" s="5" t="s">
        <v>145</v>
      </c>
      <c r="S624" s="8"/>
    </row>
    <row r="625" spans="1:19" x14ac:dyDescent="0.3">
      <c r="A625" s="28" t="e">
        <f>IF(C625="","",MAX($A$2:A624)+1)</f>
        <v>#REF!</v>
      </c>
      <c r="B625" s="10" t="s">
        <v>0</v>
      </c>
      <c r="C625" s="11">
        <v>46106</v>
      </c>
      <c r="D625" s="13" t="str">
        <f>_xlfn.XLOOKUP([1]!Table134526_79101120212223242526[[#This Row],[Name Surname]],[1]Manpower!$C$4:$C$1048576,[1]Manpower!$B$4:$B$1048576,"")</f>
        <v>Rabwu Ahamal AL Khaleej Trad</v>
      </c>
      <c r="E625" s="13" t="s">
        <v>17</v>
      </c>
      <c r="F625" s="12">
        <f>_xlfn.XLOOKUP([1]!Table134526_79101120212223242526[[#This Row],[Name Surname]],[1]Manpower!C:C,[1]Manpower!D:D,)</f>
        <v>131431131</v>
      </c>
      <c r="G625" s="13" t="str">
        <f>_xlfn.XLOOKUP([1]!Table134526_79101120212223242526[[#This Row],[Name Surname]],[1]Manpower!$C$4:$C$1048576,[1]Manpower!$F$4:$F$1048576,"")</f>
        <v>RIgger</v>
      </c>
      <c r="H625" s="13" t="str">
        <f>_xlfn.XLOOKUP([1]!Table134526_79101120212223242526[[#This Row],[Name Surname]],[1]Manpower!$C$4:$C$1048576,[1]Manpower!$H$4:$H$1048576,"")</f>
        <v>Sub Contactor</v>
      </c>
      <c r="I625" s="13" t="str">
        <f>_xlfn.XLOOKUP([1]!Table134526_79101120212223242526[[#This Row],[Name Surname]],[1]Manpower!$C$4:$C$1048576,[1]Manpower!$H$4:$H$1048576,"")</f>
        <v>Sub Contactor</v>
      </c>
      <c r="J625" s="13" t="s">
        <v>9</v>
      </c>
      <c r="K625" s="13" t="s">
        <v>7</v>
      </c>
      <c r="L625" s="13" t="s">
        <v>10</v>
      </c>
      <c r="M625" s="13" t="s">
        <v>18</v>
      </c>
      <c r="N625" s="14">
        <v>5</v>
      </c>
      <c r="O625" s="13" t="s">
        <v>6</v>
      </c>
      <c r="P625" s="13" t="s">
        <v>12</v>
      </c>
      <c r="Q625" s="13" t="s">
        <v>29</v>
      </c>
      <c r="R625" s="13" t="s">
        <v>145</v>
      </c>
      <c r="S625" s="15"/>
    </row>
    <row r="626" spans="1:19" x14ac:dyDescent="0.3">
      <c r="A626" s="29" t="e">
        <f>IF(C626="","",MAX($A$2:A625)+1)</f>
        <v>#REF!</v>
      </c>
      <c r="B626" s="10" t="s">
        <v>0</v>
      </c>
      <c r="C626" s="3">
        <v>46106</v>
      </c>
      <c r="D626" s="5" t="str">
        <f>_xlfn.XLOOKUP([1]!Table134526_79101120212223242526[[#This Row],[Name Surname]],[1]Manpower!$C$4:$C$1048576,[1]Manpower!$B$4:$B$1048576,"")</f>
        <v>AL Saif &amp; Al QALLM ENT LLC</v>
      </c>
      <c r="E626" s="5" t="s">
        <v>15</v>
      </c>
      <c r="F626" s="4">
        <f>_xlfn.XLOOKUP([1]!Table134526_79101120212223242526[[#This Row],[Name Surname]],[1]Manpower!C:C,[1]Manpower!D:D,)</f>
        <v>135762195</v>
      </c>
      <c r="G626" s="5" t="str">
        <f>_xlfn.XLOOKUP([1]!Table134526_79101120212223242526[[#This Row],[Name Surname]],[1]Manpower!$C$4:$C$1048576,[1]Manpower!$F$4:$F$1048576,"")</f>
        <v>HSE Officer</v>
      </c>
      <c r="H626" s="5" t="str">
        <f>_xlfn.XLOOKUP([1]!Table134526_79101120212223242526[[#This Row],[Name Surname]],[1]Manpower!$C$4:$C$1048576,[1]Manpower!$H$4:$H$1048576,"")</f>
        <v>Sub Contactor</v>
      </c>
      <c r="I626" s="5" t="str">
        <f>_xlfn.XLOOKUP([1]!Table134526_79101120212223242526[[#This Row],[Name Surname]],[1]Manpower!$C$4:$C$1048576,[1]Manpower!$H$4:$H$1048576,"")</f>
        <v>Sub Contactor</v>
      </c>
      <c r="J626" s="5" t="s">
        <v>9</v>
      </c>
      <c r="K626" s="5" t="s">
        <v>7</v>
      </c>
      <c r="L626" s="5" t="s">
        <v>10</v>
      </c>
      <c r="M626" s="5" t="s">
        <v>18</v>
      </c>
      <c r="N626" s="6">
        <v>5</v>
      </c>
      <c r="O626" s="5" t="s">
        <v>6</v>
      </c>
      <c r="P626" s="5" t="s">
        <v>12</v>
      </c>
      <c r="Q626" s="5" t="s">
        <v>29</v>
      </c>
      <c r="R626" s="5" t="s">
        <v>145</v>
      </c>
      <c r="S626" s="8"/>
    </row>
    <row r="627" spans="1:19" x14ac:dyDescent="0.3">
      <c r="A627" s="28" t="e">
        <f>IF(C627="","",MAX($A$2:A626)+1)</f>
        <v>#REF!</v>
      </c>
      <c r="B627" s="10" t="s">
        <v>0</v>
      </c>
      <c r="C627" s="11">
        <v>46106</v>
      </c>
      <c r="D627" s="11" t="str">
        <f>_xlfn.XLOOKUP([1]!Table134526_79101120212223242526[[#This Row],[Name Surname]],[1]Manpower!$C$4:$C$1048576,[1]Manpower!$B$4:$B$1048576,"")</f>
        <v>Encogroup</v>
      </c>
      <c r="E627" s="11" t="s">
        <v>20</v>
      </c>
      <c r="F627" s="12">
        <f>_xlfn.XLOOKUP([1]!Table134526_79101120212223242526[[#This Row],[Name Surname]],[1]Manpower!C:C,[1]Manpower!D:D,)</f>
        <v>140846684</v>
      </c>
      <c r="G627" s="11" t="str">
        <f>_xlfn.XLOOKUP([1]!Table134526_79101120212223242526[[#This Row],[Name Surname]],[1]Manpower!$C$4:$C$1048576,[1]Manpower!$F$4:$F$1048576,"")</f>
        <v>Assistant/Helper</v>
      </c>
      <c r="H627" s="11" t="str">
        <f>_xlfn.XLOOKUP([1]!Table134526_79101120212223242526[[#This Row],[Name Surname]],[1]Manpower!$C$4:$C$1048576,[1]Manpower!$H$4:$H$1048576,"")</f>
        <v>Manpower</v>
      </c>
      <c r="I627" s="11" t="str">
        <f>_xlfn.XLOOKUP([1]!Table134526_79101120212223242526[[#This Row],[Name Surname]],[1]Manpower!$C$4:$C$1048576,[1]Manpower!$H$4:$H$1048576,"")</f>
        <v>Manpower</v>
      </c>
      <c r="J627" s="13" t="s">
        <v>9</v>
      </c>
      <c r="K627" s="13" t="s">
        <v>7</v>
      </c>
      <c r="L627" s="13" t="s">
        <v>10</v>
      </c>
      <c r="M627" s="13" t="s">
        <v>18</v>
      </c>
      <c r="N627" s="14">
        <v>5</v>
      </c>
      <c r="O627" s="13" t="s">
        <v>6</v>
      </c>
      <c r="P627" s="13" t="s">
        <v>12</v>
      </c>
      <c r="Q627" s="13" t="s">
        <v>12</v>
      </c>
      <c r="R627" s="13" t="s">
        <v>145</v>
      </c>
      <c r="S627" s="15"/>
    </row>
    <row r="628" spans="1:19" x14ac:dyDescent="0.3">
      <c r="A628" s="29" t="e">
        <f>IF(C628="","",MAX($A$2:A620)+1)</f>
        <v>#REF!</v>
      </c>
      <c r="B628" s="30" t="s">
        <v>36</v>
      </c>
      <c r="C628" s="3">
        <v>46106</v>
      </c>
      <c r="D628" s="5" t="str">
        <f>_xlfn.XLOOKUP([1]!Table134526_79101120212223242526[[#This Row],[Name Surname]],[1]Manpower!$C$4:$C$1048576,[1]Manpower!$B$4:$B$1048576,"")</f>
        <v>Encogroup</v>
      </c>
      <c r="E628" s="5" t="s">
        <v>22</v>
      </c>
      <c r="F628" s="4">
        <f>_xlfn.XLOOKUP([1]!Table134526_79101120212223242526[[#This Row],[Name Surname]],[1]Manpower!C:C,[1]Manpower!D:D,)</f>
        <v>141250908</v>
      </c>
      <c r="G628" s="5" t="str">
        <f>_xlfn.XLOOKUP([1]!Table134526_79101120212223242526[[#This Row],[Name Surname]],[1]Manpower!$C$4:$C$1048576,[1]Manpower!$F$4:$F$1048576,"")</f>
        <v>Mechanical Engineer</v>
      </c>
      <c r="H628" s="5" t="str">
        <f>_xlfn.XLOOKUP([1]!Table134526_79101120212223242526[[#This Row],[Name Surname]],[1]Manpower!$C$4:$C$1048576,[1]Manpower!$H$4:$H$1048576,"")</f>
        <v>Manpower</v>
      </c>
      <c r="I628" s="5" t="str">
        <f>_xlfn.XLOOKUP([1]!Table134526_79101120212223242526[[#This Row],[Name Surname]],[1]Manpower!$C$4:$C$1048576,[1]Manpower!$H$4:$H$1048576,"")</f>
        <v>Manpower</v>
      </c>
      <c r="J628" s="5" t="s">
        <v>23</v>
      </c>
      <c r="K628" s="5" t="s">
        <v>81</v>
      </c>
      <c r="L628" s="5" t="s">
        <v>25</v>
      </c>
      <c r="M628" s="5" t="s">
        <v>18</v>
      </c>
      <c r="N628" s="6">
        <v>5</v>
      </c>
      <c r="O628" s="5" t="s">
        <v>6</v>
      </c>
      <c r="P628" s="5" t="s">
        <v>12</v>
      </c>
      <c r="Q628" s="5" t="s">
        <v>26</v>
      </c>
      <c r="R628" s="5" t="s">
        <v>134</v>
      </c>
      <c r="S628" s="8"/>
    </row>
    <row r="629" spans="1:19" x14ac:dyDescent="0.3">
      <c r="A629" s="28" t="e">
        <f>IF(C629="","",MAX($A$2:A628)+1)</f>
        <v>#REF!</v>
      </c>
      <c r="B629" s="30" t="s">
        <v>36</v>
      </c>
      <c r="C629" s="11">
        <v>46106</v>
      </c>
      <c r="D629" s="13" t="str">
        <f>_xlfn.XLOOKUP([1]!Table134526_79101120212223242526[[#This Row],[Name Surname]],[1]Manpower!$C$4:$C$1048576,[1]Manpower!$B$4:$B$1048576,"")</f>
        <v>Encogroup</v>
      </c>
      <c r="E629" s="13" t="s">
        <v>28</v>
      </c>
      <c r="F629" s="12" t="e">
        <f>_xlfn.XLOOKUP([1]!Table134526_79101120212223242526[[#This Row],[Name Surname]],[1]Manpower!C:C,[1]Manpower!D:D,)</f>
        <v>#N/A</v>
      </c>
      <c r="G629" s="13" t="str">
        <f>_xlfn.XLOOKUP([1]!Table134526_79101120212223242526[[#This Row],[Name Surname]],[1]Manpower!$C$4:$C$1048576,[1]Manpower!$F$4:$F$1048576,"")</f>
        <v>55 Seat Bus</v>
      </c>
      <c r="H629" s="13" t="str">
        <f>_xlfn.XLOOKUP([1]!Table134526_79101120212223242526[[#This Row],[Name Surname]],[1]Manpower!$C$4:$C$1048576,[1]Manpower!$H$4:$H$1048576,"")</f>
        <v>Equipment</v>
      </c>
      <c r="I629" s="13" t="str">
        <f>_xlfn.XLOOKUP([1]!Table134526_79101120212223242526[[#This Row],[Name Surname]],[1]Manpower!$C$4:$C$1048576,[1]Manpower!$H$4:$H$1048576,"")</f>
        <v>Equipment</v>
      </c>
      <c r="J629" s="13" t="s">
        <v>23</v>
      </c>
      <c r="K629" s="13" t="s">
        <v>81</v>
      </c>
      <c r="L629" s="13" t="s">
        <v>25</v>
      </c>
      <c r="M629" s="13" t="s">
        <v>18</v>
      </c>
      <c r="N629" s="14">
        <v>5</v>
      </c>
      <c r="O629" s="13" t="s">
        <v>6</v>
      </c>
      <c r="P629" s="13" t="s">
        <v>12</v>
      </c>
      <c r="Q629" s="13" t="s">
        <v>26</v>
      </c>
      <c r="R629" s="13" t="s">
        <v>135</v>
      </c>
      <c r="S629" s="15"/>
    </row>
    <row r="630" spans="1:19" x14ac:dyDescent="0.3">
      <c r="A630" s="29" t="e">
        <f>IF(C630="","",MAX($A$2:A629)+1)</f>
        <v>#REF!</v>
      </c>
      <c r="B630" s="30" t="s">
        <v>36</v>
      </c>
      <c r="C630" s="3">
        <v>46106</v>
      </c>
      <c r="D630" s="5" t="str">
        <f>_xlfn.XLOOKUP([1]!Table134526_79101120212223242526[[#This Row],[Name Surname]],[1]Manpower!$C$4:$C$1048576,[1]Manpower!$B$4:$B$1048576,"")</f>
        <v>Encogroup</v>
      </c>
      <c r="E630" s="5" t="s">
        <v>111</v>
      </c>
      <c r="F630" s="4" t="e">
        <f>_xlfn.XLOOKUP([1]!Table134526_79101120212223242526[[#This Row],[Name Surname]],[1]Manpower!C:C,[1]Manpower!D:D,)</f>
        <v>#N/A</v>
      </c>
      <c r="G630" s="5" t="str">
        <f>_xlfn.XLOOKUP([1]!Table134526_79101120212223242526[[#This Row],[Name Surname]],[1]Manpower!$C$4:$C$1048576,[1]Manpower!$F$4:$F$1048576,"")</f>
        <v>TOWER LIGHT</v>
      </c>
      <c r="H630" s="5" t="str">
        <f>_xlfn.XLOOKUP([1]!Table134526_79101120212223242526[[#This Row],[Name Surname]],[1]Manpower!$C$4:$C$1048576,[1]Manpower!$H$4:$H$1048576,"")</f>
        <v>Equipment</v>
      </c>
      <c r="I630" s="5" t="str">
        <f>_xlfn.XLOOKUP([1]!Table134526_79101120212223242526[[#This Row],[Name Surname]],[1]Manpower!$C$4:$C$1048576,[1]Manpower!$H$4:$H$1048576,"")</f>
        <v>Equipment</v>
      </c>
      <c r="J630" s="5" t="s">
        <v>23</v>
      </c>
      <c r="K630" s="5" t="s">
        <v>81</v>
      </c>
      <c r="L630" s="5" t="s">
        <v>25</v>
      </c>
      <c r="M630" s="5" t="s">
        <v>18</v>
      </c>
      <c r="N630" s="6">
        <v>5</v>
      </c>
      <c r="O630" s="5"/>
      <c r="P630" s="5"/>
      <c r="Q630" s="5"/>
      <c r="R630" s="5" t="s">
        <v>19</v>
      </c>
      <c r="S630" s="8"/>
    </row>
    <row r="631" spans="1:19" x14ac:dyDescent="0.3">
      <c r="A631" s="28" t="e">
        <f>IF(C631="","",MAX($A$2:A630)+1)</f>
        <v>#REF!</v>
      </c>
      <c r="B631" s="30" t="s">
        <v>36</v>
      </c>
      <c r="C631" s="11">
        <v>46106</v>
      </c>
      <c r="D631" s="13" t="str">
        <f>_xlfn.XLOOKUP([1]!Table134526_79101120212223242526[[#This Row],[Name Surname]],[1]Manpower!$C$4:$C$1048576,[1]Manpower!$B$4:$B$1048576,"")</f>
        <v>Encogroup</v>
      </c>
      <c r="E631" s="13" t="s">
        <v>31</v>
      </c>
      <c r="F631" s="12" t="e">
        <f>_xlfn.XLOOKUP([1]!Table134526_79101120212223242526[[#This Row],[Name Surname]],[1]Manpower!C:C,[1]Manpower!D:D,)</f>
        <v>#N/A</v>
      </c>
      <c r="G631" s="13" t="str">
        <f>_xlfn.XLOOKUP([1]!Table134526_79101120212223242526[[#This Row],[Name Surname]],[1]Manpower!$C$4:$C$1048576,[1]Manpower!$F$4:$F$1048576,"")</f>
        <v>13 Seat Bus</v>
      </c>
      <c r="H631" s="13" t="str">
        <f>_xlfn.XLOOKUP([1]!Table134526_79101120212223242526[[#This Row],[Name Surname]],[1]Manpower!$C$4:$C$1048576,[1]Manpower!$H$4:$H$1048576,"")</f>
        <v>Equipment</v>
      </c>
      <c r="I631" s="13" t="str">
        <f>_xlfn.XLOOKUP([1]!Table134526_79101120212223242526[[#This Row],[Name Surname]],[1]Manpower!$C$4:$C$1048576,[1]Manpower!$H$4:$H$1048576,"")</f>
        <v>Equipment</v>
      </c>
      <c r="J631" s="13" t="s">
        <v>23</v>
      </c>
      <c r="K631" s="13" t="s">
        <v>146</v>
      </c>
      <c r="L631" s="13" t="s">
        <v>25</v>
      </c>
      <c r="M631" s="13" t="s">
        <v>18</v>
      </c>
      <c r="N631" s="14">
        <v>5</v>
      </c>
      <c r="O631" s="13" t="s">
        <v>11</v>
      </c>
      <c r="P631" s="13" t="s">
        <v>12</v>
      </c>
      <c r="Q631" s="13" t="s">
        <v>13</v>
      </c>
      <c r="R631" s="13" t="s">
        <v>7</v>
      </c>
      <c r="S631" s="15"/>
    </row>
    <row r="632" spans="1:19" x14ac:dyDescent="0.3">
      <c r="A632" s="29" t="e">
        <f>IF(C632="","",MAX($A$2:A631)+1)</f>
        <v>#REF!</v>
      </c>
      <c r="B632" s="30" t="s">
        <v>36</v>
      </c>
      <c r="C632" s="3">
        <v>46106</v>
      </c>
      <c r="D632" s="5" t="str">
        <f>_xlfn.XLOOKUP([1]!Table134526_79101120212223242526[[#This Row],[Name Surname]],[1]Manpower!$C$4:$C$1048576,[1]Manpower!$B$4:$B$1048576,"")</f>
        <v>Encogroup</v>
      </c>
      <c r="E632" s="5" t="s">
        <v>41</v>
      </c>
      <c r="F632" s="4" t="e">
        <f>_xlfn.XLOOKUP([1]!Table134526_79101120212223242526[[#This Row],[Name Surname]],[1]Manpower!C:C,[1]Manpower!D:D,)</f>
        <v>#N/A</v>
      </c>
      <c r="G632" s="5" t="str">
        <f>_xlfn.XLOOKUP([1]!Table134526_79101120212223242526[[#This Row],[Name Surname]],[1]Manpower!$C$4:$C$1048576,[1]Manpower!$F$4:$F$1048576,"")</f>
        <v>15 Seat Bus</v>
      </c>
      <c r="H632" s="5" t="str">
        <f>_xlfn.XLOOKUP([1]!Table134526_79101120212223242526[[#This Row],[Name Surname]],[1]Manpower!$C$4:$C$1048576,[1]Manpower!$H$4:$H$1048576,"")</f>
        <v>Equipment</v>
      </c>
      <c r="I632" s="5" t="str">
        <f>_xlfn.XLOOKUP([1]!Table134526_79101120212223242526[[#This Row],[Name Surname]],[1]Manpower!$C$4:$C$1048576,[1]Manpower!$H$4:$H$1048576,"")</f>
        <v>Equipment</v>
      </c>
      <c r="J632" s="5" t="s">
        <v>23</v>
      </c>
      <c r="K632" s="5" t="s">
        <v>146</v>
      </c>
      <c r="L632" s="5" t="s">
        <v>25</v>
      </c>
      <c r="M632" s="5" t="s">
        <v>18</v>
      </c>
      <c r="N632" s="6">
        <v>5</v>
      </c>
      <c r="O632" s="5" t="s">
        <v>11</v>
      </c>
      <c r="P632" s="5" t="s">
        <v>12</v>
      </c>
      <c r="Q632" s="5" t="s">
        <v>13</v>
      </c>
      <c r="R632" s="5" t="s">
        <v>142</v>
      </c>
      <c r="S632" s="8"/>
    </row>
    <row r="633" spans="1:19" x14ac:dyDescent="0.3">
      <c r="A633" s="28" t="e">
        <f>IF(C633="","",MAX($A$2:A632)+1)</f>
        <v>#REF!</v>
      </c>
      <c r="B633" s="30" t="s">
        <v>36</v>
      </c>
      <c r="C633" s="11">
        <v>46106</v>
      </c>
      <c r="D633" s="13" t="str">
        <f>_xlfn.XLOOKUP([1]!Table134526_79101120212223242526[[#This Row],[Name Surname]],[1]Manpower!$C$4:$C$1048576,[1]Manpower!$B$4:$B$1048576,"")</f>
        <v>Nass Group</v>
      </c>
      <c r="E633" s="13" t="s">
        <v>32</v>
      </c>
      <c r="F633" s="12" t="e">
        <f>_xlfn.XLOOKUP([1]!Table134526_79101120212223242526[[#This Row],[Name Surname]],[1]Manpower!C:C,[1]Manpower!D:D,)</f>
        <v>#N/A</v>
      </c>
      <c r="G633" s="13" t="str">
        <f>_xlfn.XLOOKUP([1]!Table134526_79101120212223242526[[#This Row],[Name Surname]],[1]Manpower!$C$4:$C$1048576,[1]Manpower!$F$4:$F$1048576,"")</f>
        <v>130T Crawler Crane</v>
      </c>
      <c r="H633" s="13" t="str">
        <f>_xlfn.XLOOKUP([1]!Table134526_79101120212223242526[[#This Row],[Name Surname]],[1]Manpower!$C$4:$C$1048576,[1]Manpower!$H$4:$H$1048576,"")</f>
        <v>Equipment</v>
      </c>
      <c r="I633" s="13" t="str">
        <f>_xlfn.XLOOKUP([1]!Table134526_79101120212223242526[[#This Row],[Name Surname]],[1]Manpower!$C$4:$C$1048576,[1]Manpower!$H$4:$H$1048576,"")</f>
        <v>Equipment</v>
      </c>
      <c r="J633" s="13" t="s">
        <v>23</v>
      </c>
      <c r="K633" s="13" t="s">
        <v>146</v>
      </c>
      <c r="L633" s="13" t="s">
        <v>25</v>
      </c>
      <c r="M633" s="13" t="s">
        <v>18</v>
      </c>
      <c r="N633" s="14">
        <v>5</v>
      </c>
      <c r="O633" s="13" t="s">
        <v>33</v>
      </c>
      <c r="P633" s="13" t="s">
        <v>33</v>
      </c>
      <c r="Q633" s="13" t="s">
        <v>33</v>
      </c>
      <c r="R633" s="13" t="s">
        <v>7</v>
      </c>
      <c r="S633" s="15"/>
    </row>
    <row r="634" spans="1:19" x14ac:dyDescent="0.3">
      <c r="A634" s="29" t="e">
        <f>IF(C634="","",MAX($A$2:A632)+1)</f>
        <v>#REF!</v>
      </c>
      <c r="B634" s="30" t="s">
        <v>36</v>
      </c>
      <c r="C634" s="3">
        <v>46106</v>
      </c>
      <c r="D634" s="5" t="str">
        <f>_xlfn.XLOOKUP([1]!Table134526_79101120212223242526[[#This Row],[Name Surname]],[1]Manpower!$C$4:$C$1048576,[1]Manpower!$B$4:$B$1048576,"")</f>
        <v>Nass Group</v>
      </c>
      <c r="E634" s="3" t="s">
        <v>34</v>
      </c>
      <c r="F634" s="4" t="e">
        <f>_xlfn.XLOOKUP([1]!Table134526_79101120212223242526[[#This Row],[Name Surname]],[1]Manpower!C:C,[1]Manpower!D:D,)</f>
        <v>#N/A</v>
      </c>
      <c r="G634" s="5" t="str">
        <f>_xlfn.XLOOKUP([1]!Table134526_79101120212223242526[[#This Row],[Name Surname]],[1]Manpower!$C$4:$C$1048576,[1]Manpower!$F$4:$F$1048576,"")</f>
        <v>70T-Telescopic crane</v>
      </c>
      <c r="H634" s="5" t="str">
        <f>_xlfn.XLOOKUP([1]!Table134526_79101120212223242526[[#This Row],[Name Surname]],[1]Manpower!$C$4:$C$1048576,[1]Manpower!$H$4:$H$1048576,"")</f>
        <v>Equipment</v>
      </c>
      <c r="I634" s="5" t="str">
        <f>_xlfn.XLOOKUP([1]!Table134526_79101120212223242526[[#This Row],[Name Surname]],[1]Manpower!$C$4:$C$1048576,[1]Manpower!$H$4:$H$1048576,"")</f>
        <v>Equipment</v>
      </c>
      <c r="J634" s="5" t="s">
        <v>23</v>
      </c>
      <c r="K634" s="5" t="s">
        <v>146</v>
      </c>
      <c r="L634" s="5" t="s">
        <v>25</v>
      </c>
      <c r="M634" s="5" t="s">
        <v>18</v>
      </c>
      <c r="N634" s="6">
        <v>5</v>
      </c>
      <c r="O634" s="5" t="s">
        <v>35</v>
      </c>
      <c r="P634" s="5" t="s">
        <v>35</v>
      </c>
      <c r="Q634" s="5" t="s">
        <v>35</v>
      </c>
      <c r="R634" s="5" t="s">
        <v>7</v>
      </c>
      <c r="S634" s="8"/>
    </row>
    <row r="635" spans="1:19" x14ac:dyDescent="0.3">
      <c r="A635" s="28" t="e">
        <f>IF(C635="","",MAX($A$2:A634)+1)</f>
        <v>#REF!</v>
      </c>
      <c r="B635" s="30" t="s">
        <v>36</v>
      </c>
      <c r="C635" s="11">
        <v>46106</v>
      </c>
      <c r="D635" s="13" t="str">
        <f>_xlfn.XLOOKUP([1]!Table134526_79101120212223242526[[#This Row],[Name Surname]],[1]Manpower!$C$4:$C$1048576,[1]Manpower!$B$4:$B$1048576,"")</f>
        <v>Encogroup</v>
      </c>
      <c r="E635" s="13" t="s">
        <v>120</v>
      </c>
      <c r="F635" s="12" t="e">
        <f>_xlfn.XLOOKUP([1]!Table134526_79101120212223242526[[#This Row],[Name Surname]],[1]Manpower!C:C,[1]Manpower!D:D,)</f>
        <v>#N/A</v>
      </c>
      <c r="G635" s="13" t="str">
        <f>_xlfn.XLOOKUP([1]!Table134526_79101120212223242526[[#This Row],[Name Surname]],[1]Manpower!$C$4:$C$1048576,[1]Manpower!$F$4:$F$1048576,"")</f>
        <v>14T Fork lift</v>
      </c>
      <c r="H635" s="13" t="str">
        <f>_xlfn.XLOOKUP([1]!Table134526_79101120212223242526[[#This Row],[Name Surname]],[1]Manpower!$C$4:$C$1048576,[1]Manpower!$H$4:$H$1048576,"")</f>
        <v>Equipment</v>
      </c>
      <c r="I635" s="13" t="str">
        <f>_xlfn.XLOOKUP([1]!Table134526_79101120212223242526[[#This Row],[Name Surname]],[1]Manpower!$C$4:$C$1048576,[1]Manpower!$H$4:$H$1048576,"")</f>
        <v>Equipment</v>
      </c>
      <c r="J635" s="13" t="s">
        <v>23</v>
      </c>
      <c r="K635" s="13" t="s">
        <v>146</v>
      </c>
      <c r="L635" s="13" t="s">
        <v>25</v>
      </c>
      <c r="M635" s="13" t="s">
        <v>18</v>
      </c>
      <c r="N635" s="14">
        <v>5</v>
      </c>
      <c r="O635" s="13" t="s">
        <v>35</v>
      </c>
      <c r="P635" s="13" t="s">
        <v>35</v>
      </c>
      <c r="Q635" s="13" t="s">
        <v>35</v>
      </c>
      <c r="R635" s="13" t="s">
        <v>7</v>
      </c>
      <c r="S635" s="15"/>
    </row>
    <row r="636" spans="1:19" x14ac:dyDescent="0.3">
      <c r="A636" s="29" t="e">
        <f>IF(C636="","",MAX($A$2:A635)+1)</f>
        <v>#REF!</v>
      </c>
      <c r="B636" s="17" t="s">
        <v>36</v>
      </c>
      <c r="C636" s="3">
        <v>46106</v>
      </c>
      <c r="D636" s="5" t="str">
        <f>_xlfn.XLOOKUP([1]!Table134526_79101120212223242526[[#This Row],[Name Surname]],[1]Manpower!$C$4:$C$1048576,[1]Manpower!$B$4:$B$1048576,"")</f>
        <v>Al Jaber Heavy Lift</v>
      </c>
      <c r="E636" s="5" t="s">
        <v>43</v>
      </c>
      <c r="F636" s="4" t="e">
        <f>_xlfn.XLOOKUP([1]!Table134526_79101120212223242526[[#This Row],[Name Surname]],[1]Manpower!C:C,[1]Manpower!D:D,)</f>
        <v>#N/A</v>
      </c>
      <c r="G636" s="5" t="str">
        <f>_xlfn.XLOOKUP([1]!Table134526_79101120212223242526[[#This Row],[Name Surname]],[1]Manpower!$C$4:$C$1048576,[1]Manpower!$F$4:$F$1048576,"")</f>
        <v>150T-Crawler Crane</v>
      </c>
      <c r="H636" s="5" t="str">
        <f>_xlfn.XLOOKUP([1]!Table134526_79101120212223242526[[#This Row],[Name Surname]],[1]Manpower!$C$4:$C$1048576,[1]Manpower!$H$4:$H$1048576,"")</f>
        <v>Equipment</v>
      </c>
      <c r="I636" s="5" t="str">
        <f>_xlfn.XLOOKUP([1]!Table134526_79101120212223242526[[#This Row],[Name Surname]],[1]Manpower!$C$4:$C$1048576,[1]Manpower!$H$4:$H$1048576,"")</f>
        <v>Equipment</v>
      </c>
      <c r="J636" s="5" t="s">
        <v>38</v>
      </c>
      <c r="K636" s="5" t="s">
        <v>7</v>
      </c>
      <c r="L636" s="5" t="s">
        <v>39</v>
      </c>
      <c r="M636" s="5" t="s">
        <v>18</v>
      </c>
      <c r="N636" s="6">
        <v>5</v>
      </c>
      <c r="O636" s="5" t="s">
        <v>11</v>
      </c>
      <c r="P636" s="5" t="s">
        <v>13</v>
      </c>
      <c r="Q636" s="5" t="s">
        <v>13</v>
      </c>
      <c r="R636" s="5" t="s">
        <v>143</v>
      </c>
      <c r="S636" s="8"/>
    </row>
    <row r="637" spans="1:19" x14ac:dyDescent="0.3">
      <c r="A637" s="28" t="e">
        <f>IF(C637="","",MAX($A$2:A636)+1)</f>
        <v>#REF!</v>
      </c>
      <c r="B637" s="17" t="s">
        <v>36</v>
      </c>
      <c r="C637" s="11">
        <v>46106</v>
      </c>
      <c r="D637" s="13" t="str">
        <f>_xlfn.XLOOKUP([1]!Table134526_79101120212223242526[[#This Row],[Name Surname]],[1]Manpower!$C$4:$C$1048576,[1]Manpower!$B$4:$B$1048576,"")</f>
        <v>Encogroup</v>
      </c>
      <c r="E637" s="13" t="s">
        <v>1</v>
      </c>
      <c r="F637" s="12" t="e">
        <f>_xlfn.XLOOKUP([1]!Table134526_79101120212223242526[[#This Row],[Name Surname]],[1]Manpower!C:C,[1]Manpower!D:D,)</f>
        <v>#N/A</v>
      </c>
      <c r="G637" s="13" t="str">
        <f>_xlfn.XLOOKUP([1]!Table134526_79101120212223242526[[#This Row],[Name Surname]],[1]Manpower!$C$4:$C$1048576,[1]Manpower!$F$4:$F$1048576,"")</f>
        <v>22 Seat Bus</v>
      </c>
      <c r="H637" s="13" t="str">
        <f>_xlfn.XLOOKUP([1]!Table134526_79101120212223242526[[#This Row],[Name Surname]],[1]Manpower!$C$4:$C$1048576,[1]Manpower!$H$4:$H$1048576,"")</f>
        <v>Equipment</v>
      </c>
      <c r="I637" s="13" t="str">
        <f>_xlfn.XLOOKUP([1]!Table134526_79101120212223242526[[#This Row],[Name Surname]],[1]Manpower!$C$4:$C$1048576,[1]Manpower!$H$4:$H$1048576,"")</f>
        <v>Equipment</v>
      </c>
      <c r="J637" s="13" t="s">
        <v>38</v>
      </c>
      <c r="K637" s="13" t="s">
        <v>7</v>
      </c>
      <c r="L637" s="13" t="s">
        <v>39</v>
      </c>
      <c r="M637" s="13" t="s">
        <v>18</v>
      </c>
      <c r="N637" s="14">
        <v>3</v>
      </c>
      <c r="O637" s="13" t="s">
        <v>11</v>
      </c>
      <c r="P637" s="13" t="s">
        <v>13</v>
      </c>
      <c r="Q637" s="13" t="s">
        <v>13</v>
      </c>
      <c r="R637" s="13" t="s">
        <v>143</v>
      </c>
      <c r="S637" s="15"/>
    </row>
    <row r="638" spans="1:19" x14ac:dyDescent="0.3">
      <c r="A638" s="29" t="e">
        <f>IF(C638="","",MAX($A$2:A637)+1)</f>
        <v>#REF!</v>
      </c>
      <c r="B638" s="17" t="s">
        <v>36</v>
      </c>
      <c r="C638" s="3">
        <v>46106</v>
      </c>
      <c r="D638" s="5" t="str">
        <f>_xlfn.XLOOKUP([1]!Table134526_79101120212223242526[[#This Row],[Name Surname]],[1]Manpower!$C$4:$C$1048576,[1]Manpower!$B$4:$B$1048576,"")</f>
        <v>Encogroup</v>
      </c>
      <c r="E638" s="5" t="s">
        <v>37</v>
      </c>
      <c r="F638" s="4" t="e">
        <f>_xlfn.XLOOKUP([1]!Table134526_79101120212223242526[[#This Row],[Name Surname]],[1]Manpower!C:C,[1]Manpower!D:D,)</f>
        <v>#N/A</v>
      </c>
      <c r="G638" s="5" t="str">
        <f>_xlfn.XLOOKUP([1]!Table134526_79101120212223242526[[#This Row],[Name Surname]],[1]Manpower!$C$4:$C$1048576,[1]Manpower!$F$4:$F$1048576,"")</f>
        <v>22 Seat Bus</v>
      </c>
      <c r="H638" s="5" t="str">
        <f>_xlfn.XLOOKUP([1]!Table134526_79101120212223242526[[#This Row],[Name Surname]],[1]Manpower!$C$4:$C$1048576,[1]Manpower!$H$4:$H$1048576,"")</f>
        <v>Equipment</v>
      </c>
      <c r="I638" s="5" t="str">
        <f>_xlfn.XLOOKUP([1]!Table134526_79101120212223242526[[#This Row],[Name Surname]],[1]Manpower!$C$4:$C$1048576,[1]Manpower!$H$4:$H$1048576,"")</f>
        <v>Equipment</v>
      </c>
      <c r="J638" s="5" t="s">
        <v>38</v>
      </c>
      <c r="K638" s="5" t="s">
        <v>7</v>
      </c>
      <c r="L638" s="5" t="s">
        <v>39</v>
      </c>
      <c r="M638" s="5" t="s">
        <v>18</v>
      </c>
      <c r="N638" s="6">
        <v>5</v>
      </c>
      <c r="O638" s="5" t="s">
        <v>33</v>
      </c>
      <c r="P638" s="5" t="s">
        <v>33</v>
      </c>
      <c r="Q638" s="5" t="s">
        <v>33</v>
      </c>
      <c r="R638" s="5" t="s">
        <v>7</v>
      </c>
      <c r="S638" s="8"/>
    </row>
    <row r="639" spans="1:19" x14ac:dyDescent="0.3">
      <c r="A639" s="28" t="e">
        <f>IF(C639="","",MAX($A$2:A638)+1)</f>
        <v>#REF!</v>
      </c>
      <c r="B639" s="17" t="s">
        <v>36</v>
      </c>
      <c r="C639" s="11">
        <v>46106</v>
      </c>
      <c r="D639" s="13" t="str">
        <f>_xlfn.XLOOKUP([1]!Table134526_79101120212223242526[[#This Row],[Name Surname]],[1]Manpower!$C$4:$C$1048576,[1]Manpower!$B$4:$B$1048576,"")</f>
        <v>Encogroup</v>
      </c>
      <c r="E639" s="13" t="s">
        <v>40</v>
      </c>
      <c r="F639" s="12" t="e">
        <f>_xlfn.XLOOKUP([1]!Table134526_79101120212223242526[[#This Row],[Name Surname]],[1]Manpower!C:C,[1]Manpower!D:D,)</f>
        <v>#N/A</v>
      </c>
      <c r="G639" s="13" t="str">
        <f>_xlfn.XLOOKUP([1]!Table134526_79101120212223242526[[#This Row],[Name Surname]],[1]Manpower!$C$4:$C$1048576,[1]Manpower!$F$4:$F$1048576,"")</f>
        <v>300 KVA Generator</v>
      </c>
      <c r="H639" s="13" t="str">
        <f>_xlfn.XLOOKUP([1]!Table134526_79101120212223242526[[#This Row],[Name Surname]],[1]Manpower!$C$4:$C$1048576,[1]Manpower!$H$4:$H$1048576,"")</f>
        <v>Equipment</v>
      </c>
      <c r="I639" s="13" t="str">
        <f>_xlfn.XLOOKUP([1]!Table134526_79101120212223242526[[#This Row],[Name Surname]],[1]Manpower!$C$4:$C$1048576,[1]Manpower!$H$4:$H$1048576,"")</f>
        <v>Equipment</v>
      </c>
      <c r="J639" s="13" t="s">
        <v>38</v>
      </c>
      <c r="K639" s="13" t="s">
        <v>7</v>
      </c>
      <c r="L639" s="13" t="s">
        <v>39</v>
      </c>
      <c r="M639" s="13" t="s">
        <v>18</v>
      </c>
      <c r="N639" s="14">
        <v>5</v>
      </c>
      <c r="O639" s="13" t="s">
        <v>33</v>
      </c>
      <c r="P639" s="13" t="s">
        <v>33</v>
      </c>
      <c r="Q639" s="13" t="s">
        <v>33</v>
      </c>
      <c r="R639" s="13" t="s">
        <v>7</v>
      </c>
      <c r="S639" s="15"/>
    </row>
    <row r="640" spans="1:19" x14ac:dyDescent="0.3">
      <c r="A640" s="29" t="e">
        <f>IF(C640="","",MAX($A$2:A638)+1)</f>
        <v>#REF!</v>
      </c>
      <c r="B640" s="17" t="s">
        <v>36</v>
      </c>
      <c r="C640" s="3">
        <v>46106</v>
      </c>
      <c r="D640" s="5" t="str">
        <f>_xlfn.XLOOKUP([1]!Table134526_79101120212223242526[[#This Row],[Name Surname]],[1]Manpower!$C$4:$C$1048576,[1]Manpower!$B$4:$B$1048576,"")</f>
        <v>Encogroup</v>
      </c>
      <c r="E640" s="5" t="s">
        <v>45</v>
      </c>
      <c r="F640" s="4" t="e">
        <f>_xlfn.XLOOKUP([1]!Table134526_79101120212223242526[[#This Row],[Name Surname]],[1]Manpower!C:C,[1]Manpower!D:D,)</f>
        <v>#N/A</v>
      </c>
      <c r="G640" s="5" t="str">
        <f>_xlfn.XLOOKUP([1]!Table134526_79101120212223242526[[#This Row],[Name Surname]],[1]Manpower!$C$4:$C$1048576,[1]Manpower!$F$4:$F$1048576,"")</f>
        <v>35 KVA Generator</v>
      </c>
      <c r="H640" s="5" t="str">
        <f>_xlfn.XLOOKUP([1]!Table134526_79101120212223242526[[#This Row],[Name Surname]],[1]Manpower!$C$4:$C$1048576,[1]Manpower!$H$4:$H$1048576,"")</f>
        <v>Equipment</v>
      </c>
      <c r="I640" s="5" t="str">
        <f>_xlfn.XLOOKUP([1]!Table134526_79101120212223242526[[#This Row],[Name Surname]],[1]Manpower!$C$4:$C$1048576,[1]Manpower!$H$4:$H$1048576,"")</f>
        <v>Equipment</v>
      </c>
      <c r="J640" s="5" t="s">
        <v>38</v>
      </c>
      <c r="K640" s="5" t="s">
        <v>7</v>
      </c>
      <c r="L640" s="5" t="s">
        <v>39</v>
      </c>
      <c r="M640" s="5" t="s">
        <v>18</v>
      </c>
      <c r="N640" s="6">
        <v>5</v>
      </c>
      <c r="O640" s="5" t="s">
        <v>11</v>
      </c>
      <c r="P640" s="5" t="s">
        <v>13</v>
      </c>
      <c r="Q640" s="5" t="s">
        <v>12</v>
      </c>
      <c r="R640" s="5" t="s">
        <v>79</v>
      </c>
      <c r="S640" s="8"/>
    </row>
    <row r="641" spans="1:19" x14ac:dyDescent="0.3">
      <c r="A641" s="28" t="e">
        <f>IF(C641="","",MAX($A$2:A640)+1)</f>
        <v>#REF!</v>
      </c>
      <c r="B641" s="17" t="s">
        <v>36</v>
      </c>
      <c r="C641" s="11">
        <v>46106</v>
      </c>
      <c r="D641" s="13" t="str">
        <f>_xlfn.XLOOKUP([1]!Table134526_79101120212223242526[[#This Row],[Name Surname]],[1]Manpower!$C$4:$C$1048576,[1]Manpower!$B$4:$B$1048576,"")</f>
        <v>Encogroup</v>
      </c>
      <c r="E641" s="13" t="s">
        <v>48</v>
      </c>
      <c r="F641" s="12">
        <f>_xlfn.XLOOKUP([1]!Table134526_79101120212223242526[[#This Row],[Name Surname]],[1]Manpower!C:C,[1]Manpower!D:D,)</f>
        <v>140742144</v>
      </c>
      <c r="G641" s="13" t="str">
        <f>_xlfn.XLOOKUP([1]!Table134526_79101120212223242526[[#This Row],[Name Surname]],[1]Manpower!$C$4:$C$1048576,[1]Manpower!$F$4:$F$1048576,"")</f>
        <v>Assistant/Helper</v>
      </c>
      <c r="H641" s="13" t="str">
        <f>_xlfn.XLOOKUP([1]!Table134526_79101120212223242526[[#This Row],[Name Surname]],[1]Manpower!$C$4:$C$1048576,[1]Manpower!$H$4:$H$1048576,"")</f>
        <v>Manpower</v>
      </c>
      <c r="I641" s="13" t="str">
        <f>_xlfn.XLOOKUP([1]!Table134526_79101120212223242526[[#This Row],[Name Surname]],[1]Manpower!$C$4:$C$1048576,[1]Manpower!$H$4:$H$1048576,"")</f>
        <v>Manpower</v>
      </c>
      <c r="J641" s="13" t="s">
        <v>38</v>
      </c>
      <c r="K641" s="13" t="s">
        <v>7</v>
      </c>
      <c r="L641" s="13" t="s">
        <v>39</v>
      </c>
      <c r="M641" s="13" t="s">
        <v>18</v>
      </c>
      <c r="N641" s="14">
        <v>5</v>
      </c>
      <c r="O641" s="13" t="s">
        <v>33</v>
      </c>
      <c r="P641" s="13" t="s">
        <v>33</v>
      </c>
      <c r="Q641" s="13" t="s">
        <v>33</v>
      </c>
      <c r="R641" s="13" t="s">
        <v>7</v>
      </c>
      <c r="S641" s="15"/>
    </row>
    <row r="642" spans="1:19" x14ac:dyDescent="0.3">
      <c r="A642" s="29" t="e">
        <f>IF(C642="","",MAX($A$2:A641)+1)</f>
        <v>#REF!</v>
      </c>
      <c r="B642" s="17" t="s">
        <v>36</v>
      </c>
      <c r="C642" s="3">
        <v>46106</v>
      </c>
      <c r="D642" s="5" t="str">
        <f>_xlfn.XLOOKUP([1]!Table134526_79101120212223242526[[#This Row],[Name Surname]],[1]Manpower!$C$4:$C$1048576,[1]Manpower!$B$4:$B$1048576,"")</f>
        <v>SARENS NASS</v>
      </c>
      <c r="E642" s="5" t="s">
        <v>49</v>
      </c>
      <c r="F642" s="4">
        <f>_xlfn.XLOOKUP([1]!Table134526_79101120212223242526[[#This Row],[Name Surname]],[1]Manpower!C:C,[1]Manpower!D:D,)</f>
        <v>78753612</v>
      </c>
      <c r="G642" s="5" t="str">
        <f>_xlfn.XLOOKUP([1]!Table134526_79101120212223242526[[#This Row],[Name Surname]],[1]Manpower!$C$4:$C$1048576,[1]Manpower!$F$4:$F$1048576,"")</f>
        <v>Crane Operator- 70T Liebherr Telescopic Crane-02</v>
      </c>
      <c r="H642" s="5" t="str">
        <f>_xlfn.XLOOKUP([1]!Table134526_79101120212223242526[[#This Row],[Name Surname]],[1]Manpower!$C$4:$C$1048576,[1]Manpower!$H$4:$H$1048576,"")</f>
        <v>Manpower</v>
      </c>
      <c r="I642" s="5" t="str">
        <f>_xlfn.XLOOKUP([1]!Table134526_79101120212223242526[[#This Row],[Name Surname]],[1]Manpower!$C$4:$C$1048576,[1]Manpower!$H$4:$H$1048576,"")</f>
        <v>Manpower</v>
      </c>
      <c r="J642" s="5" t="s">
        <v>38</v>
      </c>
      <c r="K642" s="5" t="s">
        <v>7</v>
      </c>
      <c r="L642" s="5" t="s">
        <v>39</v>
      </c>
      <c r="M642" s="5" t="s">
        <v>18</v>
      </c>
      <c r="N642" s="6">
        <v>5</v>
      </c>
      <c r="O642" s="5" t="s">
        <v>33</v>
      </c>
      <c r="P642" s="5" t="s">
        <v>33</v>
      </c>
      <c r="Q642" s="5" t="s">
        <v>33</v>
      </c>
      <c r="R642" s="5" t="s">
        <v>7</v>
      </c>
      <c r="S642" s="8"/>
    </row>
    <row r="643" spans="1:19" x14ac:dyDescent="0.3">
      <c r="A643" s="28" t="e">
        <f>IF(C643="","",MAX($A$2:A642)+1)</f>
        <v>#REF!</v>
      </c>
      <c r="B643" s="17" t="s">
        <v>36</v>
      </c>
      <c r="C643" s="11">
        <v>46106</v>
      </c>
      <c r="D643" s="13" t="str">
        <f>_xlfn.XLOOKUP([1]!Table134526_79101120212223242526[[#This Row],[Name Surname]],[1]Manpower!$C$4:$C$1048576,[1]Manpower!$B$4:$B$1048576,"")</f>
        <v>Al Jaber Heavy Lift</v>
      </c>
      <c r="E643" s="13" t="s">
        <v>50</v>
      </c>
      <c r="F643" s="12">
        <f>_xlfn.XLOOKUP([1]!Table134526_79101120212223242526[[#This Row],[Name Surname]],[1]Manpower!C:C,[1]Manpower!D:D,)</f>
        <v>112778626</v>
      </c>
      <c r="G643" s="13" t="str">
        <f>_xlfn.XLOOKUP([1]!Table134526_79101120212223242526[[#This Row],[Name Surname]],[1]Manpower!$C$4:$C$1048576,[1]Manpower!$F$4:$F$1048576,"")</f>
        <v>Crane Operator-150T Hitachi Crawler</v>
      </c>
      <c r="H643" s="13" t="str">
        <f>_xlfn.XLOOKUP([1]!Table134526_79101120212223242526[[#This Row],[Name Surname]],[1]Manpower!$C$4:$C$1048576,[1]Manpower!$H$4:$H$1048576,"")</f>
        <v>Manpower</v>
      </c>
      <c r="I643" s="13" t="str">
        <f>_xlfn.XLOOKUP([1]!Table134526_79101120212223242526[[#This Row],[Name Surname]],[1]Manpower!$C$4:$C$1048576,[1]Manpower!$H$4:$H$1048576,"")</f>
        <v>Manpower</v>
      </c>
      <c r="J643" s="13" t="s">
        <v>38</v>
      </c>
      <c r="K643" s="13" t="s">
        <v>7</v>
      </c>
      <c r="L643" s="13" t="s">
        <v>39</v>
      </c>
      <c r="M643" s="13" t="s">
        <v>18</v>
      </c>
      <c r="N643" s="14">
        <v>5</v>
      </c>
      <c r="O643" s="13" t="s">
        <v>35</v>
      </c>
      <c r="P643" s="13" t="s">
        <v>35</v>
      </c>
      <c r="Q643" s="13" t="s">
        <v>35</v>
      </c>
      <c r="R643" s="13" t="s">
        <v>7</v>
      </c>
      <c r="S643" s="15"/>
    </row>
    <row r="644" spans="1:19" x14ac:dyDescent="0.3">
      <c r="A644" s="29" t="e">
        <f>IF(C644="","",MAX($A$2:A643)+1)</f>
        <v>#REF!</v>
      </c>
      <c r="B644" s="17" t="s">
        <v>36</v>
      </c>
      <c r="C644" s="3">
        <v>46106</v>
      </c>
      <c r="D644" s="5" t="str">
        <f>_xlfn.XLOOKUP([1]!Table134526_79101120212223242526[[#This Row],[Name Surname]],[1]Manpower!$C$4:$C$1048576,[1]Manpower!$B$4:$B$1048576,"")</f>
        <v>Encogroup</v>
      </c>
      <c r="E644" s="3" t="s">
        <v>51</v>
      </c>
      <c r="F644" s="4" t="str">
        <f>_xlfn.XLOOKUP([1]!Table134526_79101120212223242526[[#This Row],[Name Surname]],[1]Manpower!C:C,[1]Manpower!D:D,)</f>
        <v>U4181508</v>
      </c>
      <c r="G644" s="5" t="str">
        <f>_xlfn.XLOOKUP([1]!Table134526_79101120212223242526[[#This Row],[Name Surname]],[1]Manpower!$C$4:$C$1048576,[1]Manpower!$F$4:$F$1048576,"")</f>
        <v>Welder</v>
      </c>
      <c r="H644" s="5" t="str">
        <f>_xlfn.XLOOKUP([1]!Table134526_79101120212223242526[[#This Row],[Name Surname]],[1]Manpower!$C$4:$C$1048576,[1]Manpower!$H$4:$H$1048576,"")</f>
        <v>Manpower</v>
      </c>
      <c r="I644" s="5" t="str">
        <f>_xlfn.XLOOKUP([1]!Table134526_79101120212223242526[[#This Row],[Name Surname]],[1]Manpower!$C$4:$C$1048576,[1]Manpower!$H$4:$H$1048576,"")</f>
        <v>Manpower</v>
      </c>
      <c r="J644" s="5" t="s">
        <v>38</v>
      </c>
      <c r="K644" s="5" t="s">
        <v>7</v>
      </c>
      <c r="L644" s="5" t="s">
        <v>39</v>
      </c>
      <c r="M644" s="5" t="s">
        <v>18</v>
      </c>
      <c r="N644" s="6">
        <v>5</v>
      </c>
      <c r="O644" s="5"/>
      <c r="P644" s="5"/>
      <c r="Q644" s="5"/>
      <c r="R644" s="5" t="s">
        <v>19</v>
      </c>
      <c r="S644" s="8"/>
    </row>
    <row r="645" spans="1:19" x14ac:dyDescent="0.3">
      <c r="A645" s="28" t="e">
        <f>IF(C645="","",MAX($A$2:A644)+1)</f>
        <v>#REF!</v>
      </c>
      <c r="B645" s="17" t="s">
        <v>36</v>
      </c>
      <c r="C645" s="11">
        <v>46106</v>
      </c>
      <c r="D645" s="13" t="str">
        <f>_xlfn.XLOOKUP([1]!Table134526_79101120212223242526[[#This Row],[Name Surname]],[1]Manpower!$C$4:$C$1048576,[1]Manpower!$B$4:$B$1048576,"")</f>
        <v>Encogroup</v>
      </c>
      <c r="E645" s="13" t="s">
        <v>112</v>
      </c>
      <c r="F645" s="12">
        <f>_xlfn.XLOOKUP([1]!Table134526_79101120212223242526[[#This Row],[Name Surname]],[1]Manpower!C:C,[1]Manpower!D:D,)</f>
        <v>125440631</v>
      </c>
      <c r="G645" s="13" t="str">
        <f>_xlfn.XLOOKUP([1]!Table134526_79101120212223242526[[#This Row],[Name Surname]],[1]Manpower!$C$4:$C$1048576,[1]Manpower!$F$4:$F$1048576,"")</f>
        <v>Rigger</v>
      </c>
      <c r="H645" s="13" t="str">
        <f>_xlfn.XLOOKUP([1]!Table134526_79101120212223242526[[#This Row],[Name Surname]],[1]Manpower!$C$4:$C$1048576,[1]Manpower!$H$4:$H$1048576,"")</f>
        <v>Manpower</v>
      </c>
      <c r="I645" s="13" t="str">
        <f>_xlfn.XLOOKUP([1]!Table134526_79101120212223242526[[#This Row],[Name Surname]],[1]Manpower!$C$4:$C$1048576,[1]Manpower!$H$4:$H$1048576,"")</f>
        <v>Manpower</v>
      </c>
      <c r="J645" s="13" t="s">
        <v>38</v>
      </c>
      <c r="K645" s="13" t="s">
        <v>7</v>
      </c>
      <c r="L645" s="13" t="s">
        <v>39</v>
      </c>
      <c r="M645" s="13" t="s">
        <v>18</v>
      </c>
      <c r="N645" s="14">
        <v>5</v>
      </c>
      <c r="O645" s="13"/>
      <c r="P645" s="13"/>
      <c r="Q645" s="13"/>
      <c r="R645" s="13" t="s">
        <v>19</v>
      </c>
      <c r="S645" s="15"/>
    </row>
    <row r="646" spans="1:19" x14ac:dyDescent="0.3">
      <c r="A646" s="31" t="e">
        <f>IF(C646="","",MAX($A$2:A645)+1)</f>
        <v>#REF!</v>
      </c>
      <c r="B646" s="10" t="s">
        <v>36</v>
      </c>
      <c r="C646" s="25">
        <v>46106</v>
      </c>
      <c r="D646" s="22" t="str">
        <f>_xlfn.XLOOKUP([1]!Table134526_79101120212223242526[[#This Row],[Name Surname]],[1]Manpower!$C$4:$C$1048576,[1]Manpower!$B$4:$B$1048576,"")</f>
        <v>AL Omar International TRAD AND CONT</v>
      </c>
      <c r="E646" s="22" t="s">
        <v>147</v>
      </c>
      <c r="F646" s="4">
        <f>_xlfn.XLOOKUP([1]!Table134526_79101120212223242526[[#This Row],[Name Surname]],[1]Manpower!C:C,[1]Manpower!D:D,)</f>
        <v>115731078</v>
      </c>
      <c r="G646" s="22" t="str">
        <f>_xlfn.XLOOKUP([1]!Table134526_79101120212223242526[[#This Row],[Name Surname]],[1]Manpower!$C$4:$C$1048576,[1]Manpower!$F$4:$F$1048576,"")</f>
        <v>Scaffolder</v>
      </c>
      <c r="H646" s="22" t="str">
        <f>_xlfn.XLOOKUP([1]!Table134526_79101120212223242526[[#This Row],[Name Surname]],[1]Manpower!$C$4:$C$1048576,[1]Manpower!$H$4:$H$1048576,"")</f>
        <v>Sub Contactor</v>
      </c>
      <c r="I646" s="22" t="str">
        <f>_xlfn.XLOOKUP([1]!Table134526_79101120212223242526[[#This Row],[Name Surname]],[1]Manpower!$C$4:$C$1048576,[1]Manpower!$H$4:$H$1048576,"")</f>
        <v>Sub Contactor</v>
      </c>
      <c r="J646" s="22" t="s">
        <v>38</v>
      </c>
      <c r="K646" s="22" t="s">
        <v>7</v>
      </c>
      <c r="L646" s="22" t="s">
        <v>39</v>
      </c>
      <c r="M646" s="22" t="s">
        <v>18</v>
      </c>
      <c r="N646" s="26">
        <v>5</v>
      </c>
      <c r="O646" s="22" t="s">
        <v>11</v>
      </c>
      <c r="P646" s="22" t="s">
        <v>13</v>
      </c>
      <c r="Q646" s="22" t="s">
        <v>13</v>
      </c>
      <c r="R646" s="22" t="s">
        <v>143</v>
      </c>
      <c r="S646" s="27"/>
    </row>
    <row r="647" spans="1:19" x14ac:dyDescent="0.3">
      <c r="A647" s="28" t="e">
        <f>IF(C647="","",MAX($A$2:A646)+1)</f>
        <v>#REF!</v>
      </c>
      <c r="B647" s="17" t="s">
        <v>36</v>
      </c>
      <c r="C647" s="11">
        <v>46106</v>
      </c>
      <c r="D647" s="13" t="str">
        <f>_xlfn.XLOOKUP([1]!Table134526_79101120212223242526[[#This Row],[Name Surname]],[1]Manpower!$C$4:$C$1048576,[1]Manpower!$B$4:$B$1048576,"")</f>
        <v>Encogroup</v>
      </c>
      <c r="E647" s="11" t="s">
        <v>52</v>
      </c>
      <c r="F647" s="12">
        <f>_xlfn.XLOOKUP([1]!Table134526_79101120212223242526[[#This Row],[Name Surname]],[1]Manpower!C:C,[1]Manpower!D:D,)</f>
        <v>140764355</v>
      </c>
      <c r="G647" s="13" t="str">
        <f>_xlfn.XLOOKUP([1]!Table134526_79101120212223242526[[#This Row],[Name Surname]],[1]Manpower!$C$4:$C$1048576,[1]Manpower!$F$4:$F$1048576,"")</f>
        <v>Fitter/Erector</v>
      </c>
      <c r="H647" s="13" t="str">
        <f>_xlfn.XLOOKUP([1]!Table134526_79101120212223242526[[#This Row],[Name Surname]],[1]Manpower!$C$4:$C$1048576,[1]Manpower!$H$4:$H$1048576,"")</f>
        <v>Manpower</v>
      </c>
      <c r="I647" s="13" t="str">
        <f>_xlfn.XLOOKUP([1]!Table134526_79101120212223242526[[#This Row],[Name Surname]],[1]Manpower!$C$4:$C$1048576,[1]Manpower!$H$4:$H$1048576,"")</f>
        <v>Manpower</v>
      </c>
      <c r="J647" s="13" t="s">
        <v>38</v>
      </c>
      <c r="K647" s="13" t="s">
        <v>7</v>
      </c>
      <c r="L647" s="13" t="s">
        <v>39</v>
      </c>
      <c r="M647" s="13" t="s">
        <v>18</v>
      </c>
      <c r="N647" s="14">
        <v>5</v>
      </c>
      <c r="O647" s="13" t="s">
        <v>11</v>
      </c>
      <c r="P647" s="13" t="s">
        <v>13</v>
      </c>
      <c r="Q647" s="13" t="s">
        <v>13</v>
      </c>
      <c r="R647" s="13" t="s">
        <v>7</v>
      </c>
      <c r="S647" s="15"/>
    </row>
    <row r="648" spans="1:19" x14ac:dyDescent="0.3">
      <c r="A648" s="29" t="e">
        <f>IF(C648="","",MAX($A$2:A647)+1)</f>
        <v>#REF!</v>
      </c>
      <c r="B648" s="17" t="s">
        <v>36</v>
      </c>
      <c r="C648" s="3">
        <v>46106</v>
      </c>
      <c r="D648" s="5" t="str">
        <f>_xlfn.XLOOKUP([1]!Table134526_79101120212223242526[[#This Row],[Name Surname]],[1]Manpower!$C$4:$C$1048576,[1]Manpower!$B$4:$B$1048576,"")</f>
        <v>Encogroup</v>
      </c>
      <c r="E648" s="5" t="s">
        <v>53</v>
      </c>
      <c r="F648" s="4" t="str">
        <f>_xlfn.XLOOKUP([1]!Table134526_79101120212223242526[[#This Row],[Name Surname]],[1]Manpower!C:C,[1]Manpower!D:D,)</f>
        <v>S3549132</v>
      </c>
      <c r="G648" s="5" t="str">
        <f>_xlfn.XLOOKUP([1]!Table134526_79101120212223242526[[#This Row],[Name Surname]],[1]Manpower!$C$4:$C$1048576,[1]Manpower!$F$4:$F$1048576,"")</f>
        <v>Grinder</v>
      </c>
      <c r="H648" s="5" t="str">
        <f>_xlfn.XLOOKUP([1]!Table134526_79101120212223242526[[#This Row],[Name Surname]],[1]Manpower!$C$4:$C$1048576,[1]Manpower!$H$4:$H$1048576,"")</f>
        <v>Manpower</v>
      </c>
      <c r="I648" s="5" t="str">
        <f>_xlfn.XLOOKUP([1]!Table134526_79101120212223242526[[#This Row],[Name Surname]],[1]Manpower!$C$4:$C$1048576,[1]Manpower!$H$4:$H$1048576,"")</f>
        <v>Manpower</v>
      </c>
      <c r="J648" s="5" t="s">
        <v>38</v>
      </c>
      <c r="K648" s="5" t="s">
        <v>7</v>
      </c>
      <c r="L648" s="5" t="s">
        <v>39</v>
      </c>
      <c r="M648" s="5" t="s">
        <v>18</v>
      </c>
      <c r="N648" s="6">
        <v>5</v>
      </c>
      <c r="O648" s="5" t="s">
        <v>33</v>
      </c>
      <c r="P648" s="5" t="s">
        <v>33</v>
      </c>
      <c r="Q648" s="5" t="s">
        <v>33</v>
      </c>
      <c r="R648" s="5" t="s">
        <v>7</v>
      </c>
      <c r="S648" s="8"/>
    </row>
    <row r="649" spans="1:19" x14ac:dyDescent="0.3">
      <c r="A649" s="28" t="e">
        <f>IF(C649="","",MAX($A$2:A648)+1)</f>
        <v>#REF!</v>
      </c>
      <c r="B649" s="17" t="s">
        <v>36</v>
      </c>
      <c r="C649" s="11">
        <v>46106</v>
      </c>
      <c r="D649" s="13" t="str">
        <f>_xlfn.XLOOKUP([1]!Table134526_79101120212223242526[[#This Row],[Name Surname]],[1]Manpower!$C$4:$C$1048576,[1]Manpower!$B$4:$B$1048576,"")</f>
        <v>Encogroup</v>
      </c>
      <c r="E649" s="13" t="s">
        <v>54</v>
      </c>
      <c r="F649" s="12">
        <f>_xlfn.XLOOKUP([1]!Table134526_79101120212223242526[[#This Row],[Name Surname]],[1]Manpower!C:C,[1]Manpower!D:D,)</f>
        <v>140742125</v>
      </c>
      <c r="G649" s="13" t="str">
        <f>_xlfn.XLOOKUP([1]!Table134526_79101120212223242526[[#This Row],[Name Surname]],[1]Manpower!$C$4:$C$1048576,[1]Manpower!$F$4:$F$1048576,"")</f>
        <v>Assistant/Helper</v>
      </c>
      <c r="H649" s="13" t="str">
        <f>_xlfn.XLOOKUP([1]!Table134526_79101120212223242526[[#This Row],[Name Surname]],[1]Manpower!$C$4:$C$1048576,[1]Manpower!$H$4:$H$1048576,"")</f>
        <v>Manpower</v>
      </c>
      <c r="I649" s="13" t="str">
        <f>_xlfn.XLOOKUP([1]!Table134526_79101120212223242526[[#This Row],[Name Surname]],[1]Manpower!$C$4:$C$1048576,[1]Manpower!$H$4:$H$1048576,"")</f>
        <v>Manpower</v>
      </c>
      <c r="J649" s="13" t="s">
        <v>38</v>
      </c>
      <c r="K649" s="13" t="s">
        <v>7</v>
      </c>
      <c r="L649" s="13" t="s">
        <v>39</v>
      </c>
      <c r="M649" s="13" t="s">
        <v>18</v>
      </c>
      <c r="N649" s="14">
        <v>5</v>
      </c>
      <c r="O649" s="13" t="s">
        <v>33</v>
      </c>
      <c r="P649" s="13" t="s">
        <v>33</v>
      </c>
      <c r="Q649" s="13" t="s">
        <v>33</v>
      </c>
      <c r="R649" s="13" t="s">
        <v>7</v>
      </c>
      <c r="S649" s="15"/>
    </row>
    <row r="650" spans="1:19" x14ac:dyDescent="0.3">
      <c r="A650" s="29" t="e">
        <f>IF(C650="","",MAX($A$2:A649)+1)</f>
        <v>#REF!</v>
      </c>
      <c r="B650" s="17" t="s">
        <v>36</v>
      </c>
      <c r="C650" s="3">
        <v>46106</v>
      </c>
      <c r="D650" s="5" t="str">
        <f>_xlfn.XLOOKUP([1]!Table134526_79101120212223242526[[#This Row],[Name Surname]],[1]Manpower!$C$4:$C$1048576,[1]Manpower!$B$4:$B$1048576,"")</f>
        <v>Encogroup</v>
      </c>
      <c r="E650" s="5" t="s">
        <v>55</v>
      </c>
      <c r="F650" s="4">
        <f>_xlfn.XLOOKUP([1]!Table134526_79101120212223242526[[#This Row],[Name Surname]],[1]Manpower!C:C,[1]Manpower!D:D,)</f>
        <v>125199963</v>
      </c>
      <c r="G650" s="5" t="str">
        <f>_xlfn.XLOOKUP([1]!Table134526_79101120212223242526[[#This Row],[Name Surname]],[1]Manpower!$C$4:$C$1048576,[1]Manpower!$F$4:$F$1048576,"")</f>
        <v>Electrician</v>
      </c>
      <c r="H650" s="5" t="str">
        <f>_xlfn.XLOOKUP([1]!Table134526_79101120212223242526[[#This Row],[Name Surname]],[1]Manpower!$C$4:$C$1048576,[1]Manpower!$H$4:$H$1048576,"")</f>
        <v>Manpower</v>
      </c>
      <c r="I650" s="5" t="str">
        <f>_xlfn.XLOOKUP([1]!Table134526_79101120212223242526[[#This Row],[Name Surname]],[1]Manpower!$C$4:$C$1048576,[1]Manpower!$H$4:$H$1048576,"")</f>
        <v>Manpower</v>
      </c>
      <c r="J650" s="5" t="s">
        <v>38</v>
      </c>
      <c r="K650" s="5" t="s">
        <v>7</v>
      </c>
      <c r="L650" s="5" t="s">
        <v>39</v>
      </c>
      <c r="M650" s="5" t="s">
        <v>18</v>
      </c>
      <c r="N650" s="6">
        <v>5</v>
      </c>
      <c r="O650" s="5" t="s">
        <v>33</v>
      </c>
      <c r="P650" s="5" t="s">
        <v>33</v>
      </c>
      <c r="Q650" s="5" t="s">
        <v>33</v>
      </c>
      <c r="R650" s="5" t="s">
        <v>7</v>
      </c>
      <c r="S650" s="8"/>
    </row>
    <row r="651" spans="1:19" x14ac:dyDescent="0.3">
      <c r="A651" s="28" t="e">
        <f>IF(C651="","",MAX($A$2:A650)+1)</f>
        <v>#REF!</v>
      </c>
      <c r="B651" s="17" t="s">
        <v>36</v>
      </c>
      <c r="C651" s="11">
        <v>46106</v>
      </c>
      <c r="D651" s="13" t="str">
        <f>_xlfn.XLOOKUP([1]!Table134526_79101120212223242526[[#This Row],[Name Surname]],[1]Manpower!$C$4:$C$1048576,[1]Manpower!$B$4:$B$1048576,"")</f>
        <v>Encogroup</v>
      </c>
      <c r="E651" s="13" t="s">
        <v>56</v>
      </c>
      <c r="F651" s="12">
        <f>_xlfn.XLOOKUP([1]!Table134526_79101120212223242526[[#This Row],[Name Surname]],[1]Manpower!C:C,[1]Manpower!D:D,)</f>
        <v>124398279</v>
      </c>
      <c r="G651" s="13" t="str">
        <f>_xlfn.XLOOKUP([1]!Table134526_79101120212223242526[[#This Row],[Name Surname]],[1]Manpower!$C$4:$C$1048576,[1]Manpower!$F$4:$F$1048576,"")</f>
        <v>Permit Receiver</v>
      </c>
      <c r="H651" s="13" t="str">
        <f>_xlfn.XLOOKUP([1]!Table134526_79101120212223242526[[#This Row],[Name Surname]],[1]Manpower!$C$4:$C$1048576,[1]Manpower!$H$4:$H$1048576,"")</f>
        <v>Manpower</v>
      </c>
      <c r="I651" s="13" t="str">
        <f>_xlfn.XLOOKUP([1]!Table134526_79101120212223242526[[#This Row],[Name Surname]],[1]Manpower!$C$4:$C$1048576,[1]Manpower!$H$4:$H$1048576,"")</f>
        <v>Manpower</v>
      </c>
      <c r="J651" s="13" t="s">
        <v>38</v>
      </c>
      <c r="K651" s="13" t="s">
        <v>7</v>
      </c>
      <c r="L651" s="13" t="s">
        <v>39</v>
      </c>
      <c r="M651" s="13" t="s">
        <v>18</v>
      </c>
      <c r="N651" s="14">
        <v>5</v>
      </c>
      <c r="O651" s="13" t="s">
        <v>33</v>
      </c>
      <c r="P651" s="13" t="s">
        <v>33</v>
      </c>
      <c r="Q651" s="13" t="s">
        <v>33</v>
      </c>
      <c r="R651" s="13" t="s">
        <v>7</v>
      </c>
      <c r="S651" s="15"/>
    </row>
    <row r="652" spans="1:19" x14ac:dyDescent="0.3">
      <c r="A652" s="29" t="e">
        <f>IF(C652="","",MAX($A$2:A651)+1)</f>
        <v>#REF!</v>
      </c>
      <c r="B652" s="17" t="s">
        <v>36</v>
      </c>
      <c r="C652" s="3">
        <v>46106</v>
      </c>
      <c r="D652" s="5" t="str">
        <f>_xlfn.XLOOKUP([1]!Table134526_79101120212223242526[[#This Row],[Name Surname]],[1]Manpower!$C$4:$C$1048576,[1]Manpower!$B$4:$B$1048576,"")</f>
        <v>Encogroup</v>
      </c>
      <c r="E652" s="5" t="s">
        <v>111</v>
      </c>
      <c r="F652" s="4">
        <f>_xlfn.XLOOKUP([1]!Table134526_79101120212223242526[[#This Row],[Name Surname]],[1]Manpower!C:C,[1]Manpower!D:D,)</f>
        <v>140809004</v>
      </c>
      <c r="G652" s="5" t="str">
        <f>_xlfn.XLOOKUP([1]!Table134526_79101120212223242526[[#This Row],[Name Surname]],[1]Manpower!$C$4:$C$1048576,[1]Manpower!$F$4:$F$1048576,"")</f>
        <v>Fitter/Erector</v>
      </c>
      <c r="H652" s="5" t="str">
        <f>_xlfn.XLOOKUP([1]!Table134526_79101120212223242526[[#This Row],[Name Surname]],[1]Manpower!$C$4:$C$1048576,[1]Manpower!$H$4:$H$1048576,"")</f>
        <v>Manpower</v>
      </c>
      <c r="I652" s="5" t="str">
        <f>_xlfn.XLOOKUP([1]!Table134526_79101120212223242526[[#This Row],[Name Surname]],[1]Manpower!$C$4:$C$1048576,[1]Manpower!$H$4:$H$1048576,"")</f>
        <v>Manpower</v>
      </c>
      <c r="J652" s="5" t="s">
        <v>38</v>
      </c>
      <c r="K652" s="5" t="s">
        <v>7</v>
      </c>
      <c r="L652" s="5" t="s">
        <v>39</v>
      </c>
      <c r="M652" s="5" t="s">
        <v>18</v>
      </c>
      <c r="N652" s="6">
        <v>10</v>
      </c>
      <c r="O652" s="5"/>
      <c r="P652" s="5"/>
      <c r="Q652" s="5"/>
      <c r="R652" s="5" t="s">
        <v>19</v>
      </c>
      <c r="S652" s="8"/>
    </row>
    <row r="653" spans="1:19" x14ac:dyDescent="0.3">
      <c r="A653" s="28" t="e">
        <f>IF(C653="","",MAX($A$2:A651)+1)</f>
        <v>#REF!</v>
      </c>
      <c r="B653" s="17" t="s">
        <v>36</v>
      </c>
      <c r="C653" s="11">
        <v>46106</v>
      </c>
      <c r="D653" s="13" t="str">
        <f>_xlfn.XLOOKUP([1]!Table134526_79101120212223242526[[#This Row],[Name Surname]],[1]Manpower!$C$4:$C$1048576,[1]Manpower!$B$4:$B$1048576,"")</f>
        <v>Encogroup</v>
      </c>
      <c r="E653" s="13" t="s">
        <v>112</v>
      </c>
      <c r="F653" s="12">
        <f>_xlfn.XLOOKUP([1]!Table134526_79101120212223242526[[#This Row],[Name Surname]],[1]Manpower!C:C,[1]Manpower!D:D,)</f>
        <v>140683436</v>
      </c>
      <c r="G653" s="13" t="str">
        <f>_xlfn.XLOOKUP([1]!Table134526_79101120212223242526[[#This Row],[Name Surname]],[1]Manpower!$C$4:$C$1048576,[1]Manpower!$F$4:$F$1048576,"")</f>
        <v>Scaffolder</v>
      </c>
      <c r="H653" s="13" t="str">
        <f>_xlfn.XLOOKUP([1]!Table134526_79101120212223242526[[#This Row],[Name Surname]],[1]Manpower!$C$4:$C$1048576,[1]Manpower!$H$4:$H$1048576,"")</f>
        <v>Manpower</v>
      </c>
      <c r="I653" s="13" t="str">
        <f>_xlfn.XLOOKUP([1]!Table134526_79101120212223242526[[#This Row],[Name Surname]],[1]Manpower!$C$4:$C$1048576,[1]Manpower!$H$4:$H$1048576,"")</f>
        <v>Manpower</v>
      </c>
      <c r="J653" s="13" t="s">
        <v>38</v>
      </c>
      <c r="K653" s="13" t="s">
        <v>7</v>
      </c>
      <c r="L653" s="13" t="s">
        <v>39</v>
      </c>
      <c r="M653" s="13" t="s">
        <v>18</v>
      </c>
      <c r="N653" s="14">
        <v>10</v>
      </c>
      <c r="O653" s="13"/>
      <c r="P653" s="13"/>
      <c r="Q653" s="13"/>
      <c r="R653" s="13" t="s">
        <v>19</v>
      </c>
      <c r="S653" s="15"/>
    </row>
    <row r="654" spans="1:19" x14ac:dyDescent="0.3">
      <c r="A654" s="29" t="e">
        <f>IF(C654="","",MAX($A$2:A651)+1)</f>
        <v>#REF!</v>
      </c>
      <c r="B654" s="17" t="s">
        <v>36</v>
      </c>
      <c r="C654" s="3">
        <v>46106</v>
      </c>
      <c r="D654" s="5" t="str">
        <f>_xlfn.XLOOKUP([1]!Table134526_79101120212223242526[[#This Row],[Name Surname]],[1]Manpower!$C$4:$C$1048576,[1]Manpower!$B$4:$B$1048576,"")</f>
        <v>Encogroup</v>
      </c>
      <c r="E654" s="5" t="s">
        <v>123</v>
      </c>
      <c r="F654" s="4" t="e">
        <f>_xlfn.XLOOKUP([1]!Table134526_79101120212223242526[[#This Row],[Name Surname]],[1]Manpower!C:C,[1]Manpower!D:D,)</f>
        <v>#N/A</v>
      </c>
      <c r="G654" s="5" t="str">
        <f>_xlfn.XLOOKUP([1]!Table134526_79101120212223242526[[#This Row],[Name Surname]],[1]Manpower!$C$4:$C$1048576,[1]Manpower!$F$4:$F$1048576,"")</f>
        <v>7T-HIAB</v>
      </c>
      <c r="H654" s="5" t="str">
        <f>_xlfn.XLOOKUP([1]!Table134526_79101120212223242526[[#This Row],[Name Surname]],[1]Manpower!$C$4:$C$1048576,[1]Manpower!$H$4:$H$1048576,"")</f>
        <v>Equipment</v>
      </c>
      <c r="I654" s="5" t="str">
        <f>_xlfn.XLOOKUP([1]!Table134526_79101120212223242526[[#This Row],[Name Surname]],[1]Manpower!$C$4:$C$1048576,[1]Manpower!$H$4:$H$1048576,"")</f>
        <v>Equipment</v>
      </c>
      <c r="J654" s="5" t="s">
        <v>38</v>
      </c>
      <c r="K654" s="5" t="s">
        <v>7</v>
      </c>
      <c r="L654" s="5" t="s">
        <v>39</v>
      </c>
      <c r="M654" s="5" t="s">
        <v>5</v>
      </c>
      <c r="N654" s="6">
        <v>10</v>
      </c>
      <c r="O654" s="5" t="s">
        <v>11</v>
      </c>
      <c r="P654" s="5" t="s">
        <v>13</v>
      </c>
      <c r="Q654" s="5" t="s">
        <v>13</v>
      </c>
      <c r="R654" s="5" t="s">
        <v>7</v>
      </c>
      <c r="S654" s="8"/>
    </row>
    <row r="655" spans="1:19" x14ac:dyDescent="0.3">
      <c r="A655" s="28" t="e">
        <f>IF(C655="","",MAX($A$2:A650)+1)</f>
        <v>#REF!</v>
      </c>
      <c r="B655" s="17" t="s">
        <v>36</v>
      </c>
      <c r="C655" s="11">
        <v>46106</v>
      </c>
      <c r="D655" s="13" t="str">
        <f>_xlfn.XLOOKUP([1]!Table134526_79101120212223242526[[#This Row],[Name Surname]],[1]Manpower!$C$4:$C$1048576,[1]Manpower!$B$4:$B$1048576,"")</f>
        <v>Encogroup</v>
      </c>
      <c r="E655" s="13" t="s">
        <v>57</v>
      </c>
      <c r="F655" s="12">
        <f>_xlfn.XLOOKUP([1]!Table134526_79101120212223242526[[#This Row],[Name Surname]],[1]Manpower!C:C,[1]Manpower!D:D,)</f>
        <v>9138415</v>
      </c>
      <c r="G655" s="13" t="str">
        <f>_xlfn.XLOOKUP([1]!Table134526_79101120212223242526[[#This Row],[Name Surname]],[1]Manpower!$C$4:$C$1048576,[1]Manpower!$F$4:$F$1048576,"")</f>
        <v>HIAB Driver</v>
      </c>
      <c r="H655" s="13" t="str">
        <f>_xlfn.XLOOKUP([1]!Table134526_79101120212223242526[[#This Row],[Name Surname]],[1]Manpower!$C$4:$C$1048576,[1]Manpower!$H$4:$H$1048576,"")</f>
        <v>Manpower</v>
      </c>
      <c r="I655" s="13" t="str">
        <f>_xlfn.XLOOKUP([1]!Table134526_79101120212223242526[[#This Row],[Name Surname]],[1]Manpower!$C$4:$C$1048576,[1]Manpower!$H$4:$H$1048576,"")</f>
        <v>Manpower</v>
      </c>
      <c r="J655" s="13" t="s">
        <v>38</v>
      </c>
      <c r="K655" s="13" t="s">
        <v>7</v>
      </c>
      <c r="L655" s="13" t="s">
        <v>39</v>
      </c>
      <c r="M655" s="13" t="s">
        <v>18</v>
      </c>
      <c r="N655" s="14">
        <v>5</v>
      </c>
      <c r="O655" s="13"/>
      <c r="P655" s="13"/>
      <c r="Q655" s="13"/>
      <c r="R655" s="13" t="s">
        <v>148</v>
      </c>
      <c r="S655" s="15"/>
    </row>
    <row r="656" spans="1:19" x14ac:dyDescent="0.3">
      <c r="A656" s="29" t="e">
        <f>IF(C656="","",MAX($A$2:A654)+1)</f>
        <v>#REF!</v>
      </c>
      <c r="B656" s="17" t="s">
        <v>36</v>
      </c>
      <c r="C656" s="3">
        <v>46106</v>
      </c>
      <c r="D656" s="5" t="str">
        <f>_xlfn.XLOOKUP([1]!Table134526_79101120212223242526[[#This Row],[Name Surname]],[1]Manpower!$C$4:$C$1048576,[1]Manpower!$B$4:$B$1048576,"")</f>
        <v>GAF</v>
      </c>
      <c r="E656" s="3" t="s">
        <v>58</v>
      </c>
      <c r="F656" s="4">
        <f>_xlfn.XLOOKUP([1]!Table134526_79101120212223242526[[#This Row],[Name Surname]],[1]Manpower!C:C,[1]Manpower!D:D,)</f>
        <v>78785394</v>
      </c>
      <c r="G656" s="5" t="str">
        <f>_xlfn.XLOOKUP([1]!Table134526_79101120212223242526[[#This Row],[Name Surname]],[1]Manpower!$C$4:$C$1048576,[1]Manpower!$F$4:$F$1048576,"")</f>
        <v>Helper</v>
      </c>
      <c r="H656" s="5" t="str">
        <f>_xlfn.XLOOKUP([1]!Table134526_79101120212223242526[[#This Row],[Name Surname]],[1]Manpower!$C$4:$C$1048576,[1]Manpower!$H$4:$H$1048576,"")</f>
        <v>Sub Contactor</v>
      </c>
      <c r="I656" s="5" t="str">
        <f>_xlfn.XLOOKUP([1]!Table134526_79101120212223242526[[#This Row],[Name Surname]],[1]Manpower!$C$4:$C$1048576,[1]Manpower!$H$4:$H$1048576,"")</f>
        <v>Sub Contactor</v>
      </c>
      <c r="J656" s="5" t="s">
        <v>38</v>
      </c>
      <c r="K656" s="5" t="s">
        <v>7</v>
      </c>
      <c r="L656" s="5" t="s">
        <v>39</v>
      </c>
      <c r="M656" s="5" t="s">
        <v>18</v>
      </c>
      <c r="N656" s="6">
        <v>5</v>
      </c>
      <c r="O656" s="5"/>
      <c r="P656" s="5"/>
      <c r="Q656" s="5"/>
      <c r="R656" s="5" t="s">
        <v>19</v>
      </c>
      <c r="S656" s="8"/>
    </row>
    <row r="657" spans="1:19" x14ac:dyDescent="0.3">
      <c r="A657" s="28" t="e">
        <f>IF(C657="","",MAX($A$2:A656)+1)</f>
        <v>#REF!</v>
      </c>
      <c r="B657" s="17" t="s">
        <v>36</v>
      </c>
      <c r="C657" s="11">
        <v>46106</v>
      </c>
      <c r="D657" s="13" t="str">
        <f>_xlfn.XLOOKUP([1]!Table134526_79101120212223242526[[#This Row],[Name Surname]],[1]Manpower!$C$4:$C$1048576,[1]Manpower!$B$4:$B$1048576,"")</f>
        <v>Encogroup</v>
      </c>
      <c r="E657" s="11" t="s">
        <v>59</v>
      </c>
      <c r="F657" s="12">
        <f>_xlfn.XLOOKUP([1]!Table134526_79101120212223242526[[#This Row],[Name Surname]],[1]Manpower!C:C,[1]Manpower!D:D,)</f>
        <v>141359024</v>
      </c>
      <c r="G657" s="13" t="str">
        <f>_xlfn.XLOOKUP([1]!Table134526_79101120212223242526[[#This Row],[Name Surname]],[1]Manpower!$C$4:$C$1048576,[1]Manpower!$F$4:$F$1048576,"")</f>
        <v>Hydraulic Mechanic</v>
      </c>
      <c r="H657" s="13" t="str">
        <f>_xlfn.XLOOKUP([1]!Table134526_79101120212223242526[[#This Row],[Name Surname]],[1]Manpower!$C$4:$C$1048576,[1]Manpower!$H$4:$H$1048576,"")</f>
        <v>Manpower</v>
      </c>
      <c r="I657" s="13" t="str">
        <f>_xlfn.XLOOKUP([1]!Table134526_79101120212223242526[[#This Row],[Name Surname]],[1]Manpower!$C$4:$C$1048576,[1]Manpower!$H$4:$H$1048576,"")</f>
        <v>Manpower</v>
      </c>
      <c r="J657" s="13" t="s">
        <v>38</v>
      </c>
      <c r="K657" s="13" t="s">
        <v>7</v>
      </c>
      <c r="L657" s="13" t="s">
        <v>39</v>
      </c>
      <c r="M657" s="13" t="s">
        <v>18</v>
      </c>
      <c r="N657" s="14">
        <v>5</v>
      </c>
      <c r="O657" s="13"/>
      <c r="P657" s="13"/>
      <c r="Q657" s="13"/>
      <c r="R657" s="13" t="s">
        <v>19</v>
      </c>
      <c r="S657" s="15"/>
    </row>
    <row r="658" spans="1:19" x14ac:dyDescent="0.3">
      <c r="A658" s="29" t="e">
        <f>IF(C658="","",MAX($A$2:A657)+1)</f>
        <v>#REF!</v>
      </c>
      <c r="B658" s="2" t="s">
        <v>0</v>
      </c>
      <c r="C658" s="3">
        <v>46107</v>
      </c>
      <c r="D658" s="5" t="str">
        <f>_xlfn.XLOOKUP([1]!Table134526_79101120212223242526[[#This Row],[Name Surname]],[1]Manpower!$C$4:$C$1048576,[1]Manpower!$B$4:$B$1048576,"")</f>
        <v>Encogroup</v>
      </c>
      <c r="E658" s="5" t="s">
        <v>129</v>
      </c>
      <c r="F658" s="4">
        <f>_xlfn.XLOOKUP([1]!Table134526_79101120212223242526[[#This Row],[Name Surname]],[1]Manpower!C:C,[1]Manpower!D:D,)</f>
        <v>140844759</v>
      </c>
      <c r="G658" s="5" t="str">
        <f>_xlfn.XLOOKUP([1]!Table134526_79101120212223242526[[#This Row],[Name Surname]],[1]Manpower!$C$4:$C$1048576,[1]Manpower!$F$4:$F$1048576,"")</f>
        <v>Welder</v>
      </c>
      <c r="H658" s="5" t="str">
        <f>_xlfn.XLOOKUP([1]!Table134526_79101120212223242526[[#This Row],[Name Surname]],[1]Manpower!$C$4:$C$1048576,[1]Manpower!$H$4:$H$1048576,"")</f>
        <v>Manpower</v>
      </c>
      <c r="I658" s="5" t="str">
        <f>_xlfn.XLOOKUP([1]!Table134526_79101120212223242526[[#This Row],[Name Surname]],[1]Manpower!$C$4:$C$1048576,[1]Manpower!$H$4:$H$1048576,"")</f>
        <v>Manpower</v>
      </c>
      <c r="J658" s="5" t="s">
        <v>2</v>
      </c>
      <c r="K658" s="5" t="s">
        <v>7</v>
      </c>
      <c r="L658" s="5" t="s">
        <v>10</v>
      </c>
      <c r="M658" s="5" t="s">
        <v>18</v>
      </c>
      <c r="N658" s="6">
        <v>10</v>
      </c>
      <c r="O658" s="5"/>
      <c r="P658" s="5"/>
      <c r="Q658" s="5"/>
      <c r="R658" s="5" t="s">
        <v>148</v>
      </c>
      <c r="S658" s="8"/>
    </row>
    <row r="659" spans="1:19" x14ac:dyDescent="0.3">
      <c r="A659" s="28" t="e">
        <f>IF(C659="","",MAX($A$2:A658)+1)</f>
        <v>#REF!</v>
      </c>
      <c r="B659" s="2" t="s">
        <v>0</v>
      </c>
      <c r="C659" s="11">
        <v>46107</v>
      </c>
      <c r="D659" s="13" t="str">
        <f>_xlfn.XLOOKUP([1]!Table134526_79101120212223242526[[#This Row],[Name Surname]],[1]Manpower!$C$4:$C$1048576,[1]Manpower!$B$4:$B$1048576,"")</f>
        <v>Encogroup</v>
      </c>
      <c r="E659" s="13" t="s">
        <v>1</v>
      </c>
      <c r="F659" s="12">
        <f>_xlfn.XLOOKUP([1]!Table134526_79101120212223242526[[#This Row],[Name Surname]],[1]Manpower!C:C,[1]Manpower!D:D,)</f>
        <v>140848828</v>
      </c>
      <c r="G659" s="13" t="str">
        <f>_xlfn.XLOOKUP([1]!Table134526_79101120212223242526[[#This Row],[Name Surname]],[1]Manpower!$C$4:$C$1048576,[1]Manpower!$F$4:$F$1048576,"")</f>
        <v>Pipe Fitter</v>
      </c>
      <c r="H659" s="13" t="str">
        <f>_xlfn.XLOOKUP([1]!Table134526_79101120212223242526[[#This Row],[Name Surname]],[1]Manpower!$C$4:$C$1048576,[1]Manpower!$H$4:$H$1048576,"")</f>
        <v>Manpower</v>
      </c>
      <c r="I659" s="13" t="str">
        <f>_xlfn.XLOOKUP([1]!Table134526_79101120212223242526[[#This Row],[Name Surname]],[1]Manpower!$C$4:$C$1048576,[1]Manpower!$H$4:$H$1048576,"")</f>
        <v>Manpower</v>
      </c>
      <c r="J659" s="13" t="s">
        <v>2</v>
      </c>
      <c r="K659" s="13" t="s">
        <v>7</v>
      </c>
      <c r="L659" s="13" t="s">
        <v>10</v>
      </c>
      <c r="M659" s="13" t="s">
        <v>18</v>
      </c>
      <c r="N659" s="14">
        <v>10</v>
      </c>
      <c r="O659" s="13"/>
      <c r="P659" s="13"/>
      <c r="Q659" s="13"/>
      <c r="R659" s="13" t="s">
        <v>148</v>
      </c>
      <c r="S659" s="15"/>
    </row>
    <row r="660" spans="1:19" x14ac:dyDescent="0.3">
      <c r="A660" s="29" t="e">
        <f>IF(C660="","",MAX($A$2:A659)+1)</f>
        <v>#REF!</v>
      </c>
      <c r="B660" s="2" t="s">
        <v>0</v>
      </c>
      <c r="C660" s="3">
        <v>46107</v>
      </c>
      <c r="D660" s="5" t="str">
        <f>_xlfn.XLOOKUP([1]!Table134526_79101120212223242526[[#This Row],[Name Surname]],[1]Manpower!$C$4:$C$1048576,[1]Manpower!$B$4:$B$1048576,"")</f>
        <v>Encogroup</v>
      </c>
      <c r="E660" s="5" t="s">
        <v>46</v>
      </c>
      <c r="F660" s="4">
        <f>_xlfn.XLOOKUP([1]!Table134526_79101120212223242526[[#This Row],[Name Surname]],[1]Manpower!C:C,[1]Manpower!D:D,)</f>
        <v>140696961</v>
      </c>
      <c r="G660" s="5" t="str">
        <f>_xlfn.XLOOKUP([1]!Table134526_79101120212223242526[[#This Row],[Name Surname]],[1]Manpower!$C$4:$C$1048576,[1]Manpower!$F$4:$F$1048576,"")</f>
        <v>Assistant/Helper</v>
      </c>
      <c r="H660" s="5" t="str">
        <f>_xlfn.XLOOKUP([1]!Table134526_79101120212223242526[[#This Row],[Name Surname]],[1]Manpower!$C$4:$C$1048576,[1]Manpower!$H$4:$H$1048576,"")</f>
        <v>Manpower</v>
      </c>
      <c r="I660" s="5" t="str">
        <f>_xlfn.XLOOKUP([1]!Table134526_79101120212223242526[[#This Row],[Name Surname]],[1]Manpower!$C$4:$C$1048576,[1]Manpower!$H$4:$H$1048576,"")</f>
        <v>Manpower</v>
      </c>
      <c r="J660" s="5" t="s">
        <v>2</v>
      </c>
      <c r="K660" s="5" t="s">
        <v>7</v>
      </c>
      <c r="L660" s="5" t="s">
        <v>10</v>
      </c>
      <c r="M660" s="5" t="s">
        <v>18</v>
      </c>
      <c r="N660" s="6">
        <v>10</v>
      </c>
      <c r="O660" s="5"/>
      <c r="P660" s="5"/>
      <c r="Q660" s="5"/>
      <c r="R660" s="5" t="s">
        <v>148</v>
      </c>
      <c r="S660" s="8"/>
    </row>
    <row r="661" spans="1:19" x14ac:dyDescent="0.3">
      <c r="A661" s="28" t="e">
        <f>IF(C661="","",MAX($A$2:A660)+1)</f>
        <v>#REF!</v>
      </c>
      <c r="B661" s="10" t="s">
        <v>0</v>
      </c>
      <c r="C661" s="11">
        <v>46107</v>
      </c>
      <c r="D661" s="13" t="str">
        <f>_xlfn.XLOOKUP([1]!Table134526_79101120212223242526[[#This Row],[Name Surname]],[1]Manpower!$C$4:$C$1048576,[1]Manpower!$B$4:$B$1048576,"")</f>
        <v>Encogroup</v>
      </c>
      <c r="E661" s="11" t="s">
        <v>61</v>
      </c>
      <c r="F661" s="12">
        <f>_xlfn.XLOOKUP([1]!Table134526_79101120212223242526[[#This Row],[Name Surname]],[1]Manpower!C:C,[1]Manpower!D:D,)</f>
        <v>140623599</v>
      </c>
      <c r="G661" s="13" t="str">
        <f>_xlfn.XLOOKUP([1]!Table134526_79101120212223242526[[#This Row],[Name Surname]],[1]Manpower!$C$4:$C$1048576,[1]Manpower!$F$4:$F$1048576,"")</f>
        <v>Mechanical Supervisor</v>
      </c>
      <c r="H661" s="13" t="str">
        <f>_xlfn.XLOOKUP([1]!Table134526_79101120212223242526[[#This Row],[Name Surname]],[1]Manpower!$C$4:$C$1048576,[1]Manpower!$H$4:$H$1048576,"")</f>
        <v>Manpower</v>
      </c>
      <c r="I661" s="13" t="str">
        <f>_xlfn.XLOOKUP([1]!Table134526_79101120212223242526[[#This Row],[Name Surname]],[1]Manpower!$C$4:$C$1048576,[1]Manpower!$H$4:$H$1048576,"")</f>
        <v>Manpower</v>
      </c>
      <c r="J661" s="13" t="s">
        <v>9</v>
      </c>
      <c r="K661" s="13" t="s">
        <v>7</v>
      </c>
      <c r="L661" s="13" t="s">
        <v>10</v>
      </c>
      <c r="M661" s="13" t="s">
        <v>18</v>
      </c>
      <c r="N661" s="14">
        <v>10</v>
      </c>
      <c r="O661" s="13"/>
      <c r="P661" s="13"/>
      <c r="Q661" s="13"/>
      <c r="R661" s="13" t="s">
        <v>148</v>
      </c>
      <c r="S661" s="15"/>
    </row>
    <row r="662" spans="1:19" x14ac:dyDescent="0.3">
      <c r="A662" s="29" t="e">
        <f>IF(C662="","",MAX($A$2:A661)+1)</f>
        <v>#REF!</v>
      </c>
      <c r="B662" s="10" t="s">
        <v>0</v>
      </c>
      <c r="C662" s="3">
        <v>46107</v>
      </c>
      <c r="D662" s="5" t="str">
        <f>_xlfn.XLOOKUP([1]!Table134526_79101120212223242526[[#This Row],[Name Surname]],[1]Manpower!$C$4:$C$1048576,[1]Manpower!$B$4:$B$1048576,"")</f>
        <v>Encogroup</v>
      </c>
      <c r="E662" s="5" t="s">
        <v>8</v>
      </c>
      <c r="F662" s="4">
        <f>_xlfn.XLOOKUP([1]!Table134526_79101120212223242526[[#This Row],[Name Surname]],[1]Manpower!C:C,[1]Manpower!D:D,)</f>
        <v>140696975</v>
      </c>
      <c r="G662" s="5" t="str">
        <f>_xlfn.XLOOKUP([1]!Table134526_79101120212223242526[[#This Row],[Name Surname]],[1]Manpower!$C$4:$C$1048576,[1]Manpower!$F$4:$F$1048576,"")</f>
        <v>Assistant/Helper</v>
      </c>
      <c r="H662" s="5" t="str">
        <f>_xlfn.XLOOKUP([1]!Table134526_79101120212223242526[[#This Row],[Name Surname]],[1]Manpower!$C$4:$C$1048576,[1]Manpower!$H$4:$H$1048576,"")</f>
        <v>Manpower</v>
      </c>
      <c r="I662" s="5" t="str">
        <f>_xlfn.XLOOKUP([1]!Table134526_79101120212223242526[[#This Row],[Name Surname]],[1]Manpower!$C$4:$C$1048576,[1]Manpower!$H$4:$H$1048576,"")</f>
        <v>Manpower</v>
      </c>
      <c r="J662" s="5" t="s">
        <v>9</v>
      </c>
      <c r="K662" s="5" t="s">
        <v>7</v>
      </c>
      <c r="L662" s="5" t="s">
        <v>10</v>
      </c>
      <c r="M662" s="5" t="s">
        <v>18</v>
      </c>
      <c r="N662" s="6">
        <v>10</v>
      </c>
      <c r="O662" s="5"/>
      <c r="P662" s="5"/>
      <c r="Q662" s="5"/>
      <c r="R662" s="5" t="s">
        <v>148</v>
      </c>
      <c r="S662" s="8"/>
    </row>
    <row r="663" spans="1:19" x14ac:dyDescent="0.3">
      <c r="A663" s="28" t="e">
        <f>IF(C663="","",MAX($A$2:A662)+1)</f>
        <v>#REF!</v>
      </c>
      <c r="B663" s="10" t="s">
        <v>0</v>
      </c>
      <c r="C663" s="11">
        <v>46107</v>
      </c>
      <c r="D663" s="13" t="str">
        <f>_xlfn.XLOOKUP([1]!Table134526_79101120212223242526[[#This Row],[Name Surname]],[1]Manpower!$C$4:$C$1048576,[1]Manpower!$B$4:$B$1048576,"")</f>
        <v>Encogroup</v>
      </c>
      <c r="E663" s="13" t="s">
        <v>17</v>
      </c>
      <c r="F663" s="12">
        <f>_xlfn.XLOOKUP([1]!Table134526_79101120212223242526[[#This Row],[Name Surname]],[1]Manpower!C:C,[1]Manpower!D:D,)</f>
        <v>121937785</v>
      </c>
      <c r="G663" s="13" t="str">
        <f>_xlfn.XLOOKUP([1]!Table134526_79101120212223242526[[#This Row],[Name Surname]],[1]Manpower!$C$4:$C$1048576,[1]Manpower!$F$4:$F$1048576,"")</f>
        <v>Scaffolding Inspector</v>
      </c>
      <c r="H663" s="13" t="str">
        <f>_xlfn.XLOOKUP([1]!Table134526_79101120212223242526[[#This Row],[Name Surname]],[1]Manpower!$C$4:$C$1048576,[1]Manpower!$H$4:$H$1048576,"")</f>
        <v>Manpower</v>
      </c>
      <c r="I663" s="13" t="str">
        <f>_xlfn.XLOOKUP([1]!Table134526_79101120212223242526[[#This Row],[Name Surname]],[1]Manpower!$C$4:$C$1048576,[1]Manpower!$H$4:$H$1048576,"")</f>
        <v>Manpower</v>
      </c>
      <c r="J663" s="13" t="s">
        <v>9</v>
      </c>
      <c r="K663" s="13" t="s">
        <v>7</v>
      </c>
      <c r="L663" s="13" t="s">
        <v>10</v>
      </c>
      <c r="M663" s="13" t="s">
        <v>18</v>
      </c>
      <c r="N663" s="14">
        <v>10</v>
      </c>
      <c r="O663" s="13"/>
      <c r="P663" s="13"/>
      <c r="Q663" s="13"/>
      <c r="R663" s="13" t="s">
        <v>148</v>
      </c>
      <c r="S663" s="15"/>
    </row>
    <row r="664" spans="1:19" x14ac:dyDescent="0.3">
      <c r="A664" s="29" t="e">
        <f>IF(C664="","",MAX($A$2:A663)+1)</f>
        <v>#REF!</v>
      </c>
      <c r="B664" s="10" t="s">
        <v>0</v>
      </c>
      <c r="C664" s="3">
        <v>46107</v>
      </c>
      <c r="D664" s="5" t="str">
        <f>_xlfn.XLOOKUP([1]!Table134526_79101120212223242526[[#This Row],[Name Surname]],[1]Manpower!$C$4:$C$1048576,[1]Manpower!$B$4:$B$1048576,"")</f>
        <v xml:space="preserve">AL Omar International </v>
      </c>
      <c r="E664" s="5" t="s">
        <v>15</v>
      </c>
      <c r="F664" s="4">
        <f>_xlfn.XLOOKUP([1]!Table134526_79101120212223242526[[#This Row],[Name Surname]],[1]Manpower!C:C,[1]Manpower!D:D,)</f>
        <v>85812175</v>
      </c>
      <c r="G664" s="5" t="str">
        <f>_xlfn.XLOOKUP([1]!Table134526_79101120212223242526[[#This Row],[Name Surname]],[1]Manpower!$C$4:$C$1048576,[1]Manpower!$F$4:$F$1048576,"")</f>
        <v>Scaffolding Supervisor</v>
      </c>
      <c r="H664" s="5" t="str">
        <f>_xlfn.XLOOKUP([1]!Table134526_79101120212223242526[[#This Row],[Name Surname]],[1]Manpower!$C$4:$C$1048576,[1]Manpower!$H$4:$H$1048576,"")</f>
        <v>Sub Contactor</v>
      </c>
      <c r="I664" s="5" t="str">
        <f>_xlfn.XLOOKUP([1]!Table134526_79101120212223242526[[#This Row],[Name Surname]],[1]Manpower!$C$4:$C$1048576,[1]Manpower!$H$4:$H$1048576,"")</f>
        <v>Sub Contactor</v>
      </c>
      <c r="J664" s="5" t="s">
        <v>9</v>
      </c>
      <c r="K664" s="5" t="s">
        <v>7</v>
      </c>
      <c r="L664" s="5" t="s">
        <v>10</v>
      </c>
      <c r="M664" s="5" t="s">
        <v>18</v>
      </c>
      <c r="N664" s="6">
        <v>10</v>
      </c>
      <c r="O664" s="5"/>
      <c r="P664" s="5"/>
      <c r="Q664" s="5"/>
      <c r="R664" s="5" t="s">
        <v>148</v>
      </c>
      <c r="S664" s="8"/>
    </row>
    <row r="665" spans="1:19" x14ac:dyDescent="0.3">
      <c r="A665" s="28" t="e">
        <f>IF(C665="","",MAX($A$2:A664)+1)</f>
        <v>#REF!</v>
      </c>
      <c r="B665" s="10" t="s">
        <v>0</v>
      </c>
      <c r="C665" s="11">
        <v>46107</v>
      </c>
      <c r="D665" s="11" t="str">
        <f>_xlfn.XLOOKUP([1]!Table134526_79101120212223242526[[#This Row],[Name Surname]],[1]Manpower!$C$4:$C$1048576,[1]Manpower!$B$4:$B$1048576,"")</f>
        <v>AL Omar International TRAD AND CONT</v>
      </c>
      <c r="E665" s="11" t="s">
        <v>20</v>
      </c>
      <c r="F665" s="12">
        <f>_xlfn.XLOOKUP([1]!Table134526_79101120212223242526[[#This Row],[Name Surname]],[1]Manpower!C:C,[1]Manpower!D:D,)</f>
        <v>95335424</v>
      </c>
      <c r="G665" s="11" t="str">
        <f>_xlfn.XLOOKUP([1]!Table134526_79101120212223242526[[#This Row],[Name Surname]],[1]Manpower!$C$4:$C$1048576,[1]Manpower!$F$4:$F$1048576,"")</f>
        <v>Scaffolder</v>
      </c>
      <c r="H665" s="11" t="str">
        <f>_xlfn.XLOOKUP([1]!Table134526_79101120212223242526[[#This Row],[Name Surname]],[1]Manpower!$C$4:$C$1048576,[1]Manpower!$H$4:$H$1048576,"")</f>
        <v>Sub Contactor</v>
      </c>
      <c r="I665" s="11" t="str">
        <f>_xlfn.XLOOKUP([1]!Table134526_79101120212223242526[[#This Row],[Name Surname]],[1]Manpower!$C$4:$C$1048576,[1]Manpower!$H$4:$H$1048576,"")</f>
        <v>Sub Contactor</v>
      </c>
      <c r="J665" s="13" t="s">
        <v>9</v>
      </c>
      <c r="K665" s="13" t="s">
        <v>7</v>
      </c>
      <c r="L665" s="13" t="s">
        <v>10</v>
      </c>
      <c r="M665" s="13" t="s">
        <v>18</v>
      </c>
      <c r="N665" s="14">
        <v>10</v>
      </c>
      <c r="O665" s="13"/>
      <c r="P665" s="13"/>
      <c r="Q665" s="13"/>
      <c r="R665" s="13" t="s">
        <v>148</v>
      </c>
      <c r="S665" s="15"/>
    </row>
    <row r="666" spans="1:19" x14ac:dyDescent="0.3">
      <c r="A666" s="29" t="e">
        <f>IF(C666="","",MAX($A$2:A658)+1)</f>
        <v>#REF!</v>
      </c>
      <c r="B666" s="30" t="s">
        <v>36</v>
      </c>
      <c r="C666" s="3">
        <v>46107</v>
      </c>
      <c r="D666" s="5" t="str">
        <f>_xlfn.XLOOKUP([1]!Table134526_79101120212223242526[[#This Row],[Name Surname]],[1]Manpower!$C$4:$C$1048576,[1]Manpower!$B$4:$B$1048576,"")</f>
        <v>AL Omar International TRAD AND CONT</v>
      </c>
      <c r="E666" s="5" t="s">
        <v>22</v>
      </c>
      <c r="F666" s="4">
        <f>_xlfn.XLOOKUP([1]!Table134526_79101120212223242526[[#This Row],[Name Surname]],[1]Manpower!C:C,[1]Manpower!D:D,)</f>
        <v>96409155</v>
      </c>
      <c r="G666" s="5" t="str">
        <f>_xlfn.XLOOKUP([1]!Table134526_79101120212223242526[[#This Row],[Name Surname]],[1]Manpower!$C$4:$C$1048576,[1]Manpower!$F$4:$F$1048576,"")</f>
        <v>Scaffolder</v>
      </c>
      <c r="H666" s="5" t="str">
        <f>_xlfn.XLOOKUP([1]!Table134526_79101120212223242526[[#This Row],[Name Surname]],[1]Manpower!$C$4:$C$1048576,[1]Manpower!$H$4:$H$1048576,"")</f>
        <v>Sub Contactor</v>
      </c>
      <c r="I666" s="5" t="str">
        <f>_xlfn.XLOOKUP([1]!Table134526_79101120212223242526[[#This Row],[Name Surname]],[1]Manpower!$C$4:$C$1048576,[1]Manpower!$H$4:$H$1048576,"")</f>
        <v>Sub Contactor</v>
      </c>
      <c r="J666" s="5" t="s">
        <v>23</v>
      </c>
      <c r="K666" s="5" t="s">
        <v>7</v>
      </c>
      <c r="L666" s="5" t="s">
        <v>25</v>
      </c>
      <c r="M666" s="5" t="s">
        <v>18</v>
      </c>
      <c r="N666" s="6">
        <v>10</v>
      </c>
      <c r="O666" s="5"/>
      <c r="P666" s="5"/>
      <c r="Q666" s="5"/>
      <c r="R666" s="5" t="s">
        <v>148</v>
      </c>
      <c r="S666" s="8"/>
    </row>
    <row r="667" spans="1:19" x14ac:dyDescent="0.3">
      <c r="A667" s="28" t="e">
        <f>IF(C667="","",MAX($A$2:A666)+1)</f>
        <v>#REF!</v>
      </c>
      <c r="B667" s="30" t="s">
        <v>36</v>
      </c>
      <c r="C667" s="11">
        <v>46107</v>
      </c>
      <c r="D667" s="13" t="str">
        <f>_xlfn.XLOOKUP([1]!Table134526_79101120212223242526[[#This Row],[Name Surname]],[1]Manpower!$C$4:$C$1048576,[1]Manpower!$B$4:$B$1048576,"")</f>
        <v>AL Omar International TRAD AND CONT</v>
      </c>
      <c r="E667" s="13" t="s">
        <v>28</v>
      </c>
      <c r="F667" s="12">
        <f>_xlfn.XLOOKUP([1]!Table134526_79101120212223242526[[#This Row],[Name Surname]],[1]Manpower!C:C,[1]Manpower!D:D,)</f>
        <v>105813698</v>
      </c>
      <c r="G667" s="13" t="str">
        <f>_xlfn.XLOOKUP([1]!Table134526_79101120212223242526[[#This Row],[Name Surname]],[1]Manpower!$C$4:$C$1048576,[1]Manpower!$F$4:$F$1048576,"")</f>
        <v>Scaffolding Inspector</v>
      </c>
      <c r="H667" s="13" t="str">
        <f>_xlfn.XLOOKUP([1]!Table134526_79101120212223242526[[#This Row],[Name Surname]],[1]Manpower!$C$4:$C$1048576,[1]Manpower!$H$4:$H$1048576,"")</f>
        <v>Sub Contactor</v>
      </c>
      <c r="I667" s="13" t="str">
        <f>_xlfn.XLOOKUP([1]!Table134526_79101120212223242526[[#This Row],[Name Surname]],[1]Manpower!$C$4:$C$1048576,[1]Manpower!$H$4:$H$1048576,"")</f>
        <v>Sub Contactor</v>
      </c>
      <c r="J667" s="13" t="s">
        <v>23</v>
      </c>
      <c r="K667" s="13" t="s">
        <v>7</v>
      </c>
      <c r="L667" s="13" t="s">
        <v>25</v>
      </c>
      <c r="M667" s="13" t="s">
        <v>18</v>
      </c>
      <c r="N667" s="14">
        <v>10</v>
      </c>
      <c r="O667" s="13"/>
      <c r="P667" s="13"/>
      <c r="Q667" s="13"/>
      <c r="R667" s="13" t="s">
        <v>148</v>
      </c>
      <c r="S667" s="15"/>
    </row>
    <row r="668" spans="1:19" x14ac:dyDescent="0.3">
      <c r="A668" s="29" t="e">
        <f>IF(C668="","",MAX($A$2:A667)+1)</f>
        <v>#REF!</v>
      </c>
      <c r="B668" s="30" t="s">
        <v>36</v>
      </c>
      <c r="C668" s="3">
        <v>46107</v>
      </c>
      <c r="D668" s="5" t="str">
        <f>_xlfn.XLOOKUP([1]!Table134526_79101120212223242526[[#This Row],[Name Surname]],[1]Manpower!$C$4:$C$1048576,[1]Manpower!$B$4:$B$1048576,"")</f>
        <v>AL Saif &amp; Al QALLM ENT LLC</v>
      </c>
      <c r="E668" s="5" t="s">
        <v>111</v>
      </c>
      <c r="F668" s="4">
        <f>_xlfn.XLOOKUP([1]!Table134526_79101120212223242526[[#This Row],[Name Surname]],[1]Manpower!C:C,[1]Manpower!D:D,)</f>
        <v>135340657</v>
      </c>
      <c r="G668" s="5" t="str">
        <f>_xlfn.XLOOKUP([1]!Table134526_79101120212223242526[[#This Row],[Name Surname]],[1]Manpower!$C$4:$C$1048576,[1]Manpower!$F$4:$F$1048576,"")</f>
        <v>Forklift Operator</v>
      </c>
      <c r="H668" s="5" t="str">
        <f>_xlfn.XLOOKUP([1]!Table134526_79101120212223242526[[#This Row],[Name Surname]],[1]Manpower!$C$4:$C$1048576,[1]Manpower!$H$4:$H$1048576,"")</f>
        <v>Sub Contactor</v>
      </c>
      <c r="I668" s="5" t="str">
        <f>_xlfn.XLOOKUP([1]!Table134526_79101120212223242526[[#This Row],[Name Surname]],[1]Manpower!$C$4:$C$1048576,[1]Manpower!$H$4:$H$1048576,"")</f>
        <v>Sub Contactor</v>
      </c>
      <c r="J668" s="5" t="s">
        <v>23</v>
      </c>
      <c r="K668" s="5" t="s">
        <v>7</v>
      </c>
      <c r="L668" s="5" t="s">
        <v>25</v>
      </c>
      <c r="M668" s="5" t="s">
        <v>18</v>
      </c>
      <c r="N668" s="6">
        <v>10</v>
      </c>
      <c r="O668" s="5"/>
      <c r="P668" s="5"/>
      <c r="Q668" s="5"/>
      <c r="R668" s="5" t="s">
        <v>148</v>
      </c>
      <c r="S668" s="8"/>
    </row>
    <row r="669" spans="1:19" x14ac:dyDescent="0.3">
      <c r="A669" s="28" t="e">
        <f>IF(C669="","",MAX($A$2:A668)+1)</f>
        <v>#REF!</v>
      </c>
      <c r="B669" s="30" t="s">
        <v>36</v>
      </c>
      <c r="C669" s="11">
        <v>46107</v>
      </c>
      <c r="D669" s="13" t="str">
        <f>_xlfn.XLOOKUP([1]!Table134526_79101120212223242526[[#This Row],[Name Surname]],[1]Manpower!$C$4:$C$1048576,[1]Manpower!$B$4:$B$1048576,"")</f>
        <v>Encogroup</v>
      </c>
      <c r="E669" s="13" t="s">
        <v>31</v>
      </c>
      <c r="F669" s="12">
        <f>_xlfn.XLOOKUP([1]!Table134526_79101120212223242526[[#This Row],[Name Surname]],[1]Manpower!C:C,[1]Manpower!D:D,)</f>
        <v>140844586</v>
      </c>
      <c r="G669" s="13" t="str">
        <f>_xlfn.XLOOKUP([1]!Table134526_79101120212223242526[[#This Row],[Name Surname]],[1]Manpower!$C$4:$C$1048576,[1]Manpower!$F$4:$F$1048576,"")</f>
        <v>Assistant/Helper</v>
      </c>
      <c r="H669" s="13" t="str">
        <f>_xlfn.XLOOKUP([1]!Table134526_79101120212223242526[[#This Row],[Name Surname]],[1]Manpower!$C$4:$C$1048576,[1]Manpower!$H$4:$H$1048576,"")</f>
        <v>Manpower</v>
      </c>
      <c r="I669" s="13" t="str">
        <f>_xlfn.XLOOKUP([1]!Table134526_79101120212223242526[[#This Row],[Name Surname]],[1]Manpower!$C$4:$C$1048576,[1]Manpower!$H$4:$H$1048576,"")</f>
        <v>Manpower</v>
      </c>
      <c r="J669" s="13" t="s">
        <v>23</v>
      </c>
      <c r="K669" s="13" t="s">
        <v>7</v>
      </c>
      <c r="L669" s="13" t="s">
        <v>25</v>
      </c>
      <c r="M669" s="13" t="s">
        <v>18</v>
      </c>
      <c r="N669" s="14">
        <v>10</v>
      </c>
      <c r="O669" s="13"/>
      <c r="P669" s="13"/>
      <c r="Q669" s="13"/>
      <c r="R669" s="13" t="s">
        <v>148</v>
      </c>
      <c r="S669" s="15"/>
    </row>
    <row r="670" spans="1:19" x14ac:dyDescent="0.3">
      <c r="A670" s="29" t="e">
        <f>IF(C670="","",MAX($A$2:A669)+1)</f>
        <v>#REF!</v>
      </c>
      <c r="B670" s="30" t="s">
        <v>36</v>
      </c>
      <c r="C670" s="3">
        <v>46107</v>
      </c>
      <c r="D670" s="5" t="str">
        <f>_xlfn.XLOOKUP([1]!Table134526_79101120212223242526[[#This Row],[Name Surname]],[1]Manpower!$C$4:$C$1048576,[1]Manpower!$B$4:$B$1048576,"")</f>
        <v>AL Omar International TRAD AND CONT</v>
      </c>
      <c r="E670" s="5" t="s">
        <v>41</v>
      </c>
      <c r="F670" s="4">
        <f>_xlfn.XLOOKUP([1]!Table134526_79101120212223242526[[#This Row],[Name Surname]],[1]Manpower!C:C,[1]Manpower!D:D,)</f>
        <v>106093463</v>
      </c>
      <c r="G670" s="5" t="str">
        <f>_xlfn.XLOOKUP([1]!Table134526_79101120212223242526[[#This Row],[Name Surname]],[1]Manpower!$C$4:$C$1048576,[1]Manpower!$F$4:$F$1048576,"")</f>
        <v>RIgger</v>
      </c>
      <c r="H670" s="5" t="str">
        <f>_xlfn.XLOOKUP([1]!Table134526_79101120212223242526[[#This Row],[Name Surname]],[1]Manpower!$C$4:$C$1048576,[1]Manpower!$H$4:$H$1048576,"")</f>
        <v>Sub Contactor</v>
      </c>
      <c r="I670" s="5" t="str">
        <f>_xlfn.XLOOKUP([1]!Table134526_79101120212223242526[[#This Row],[Name Surname]],[1]Manpower!$C$4:$C$1048576,[1]Manpower!$H$4:$H$1048576,"")</f>
        <v>Sub Contactor</v>
      </c>
      <c r="J670" s="5" t="s">
        <v>23</v>
      </c>
      <c r="K670" s="5" t="s">
        <v>7</v>
      </c>
      <c r="L670" s="5" t="s">
        <v>25</v>
      </c>
      <c r="M670" s="5" t="s">
        <v>18</v>
      </c>
      <c r="N670" s="6">
        <v>10</v>
      </c>
      <c r="O670" s="5"/>
      <c r="P670" s="5"/>
      <c r="Q670" s="5"/>
      <c r="R670" s="5" t="s">
        <v>148</v>
      </c>
      <c r="S670" s="8"/>
    </row>
    <row r="671" spans="1:19" x14ac:dyDescent="0.3">
      <c r="A671" s="28" t="e">
        <f>IF(C671="","",MAX($A$2:A670)+1)</f>
        <v>#REF!</v>
      </c>
      <c r="B671" s="30" t="s">
        <v>36</v>
      </c>
      <c r="C671" s="11">
        <v>46107</v>
      </c>
      <c r="D671" s="13" t="str">
        <f>_xlfn.XLOOKUP([1]!Table134526_79101120212223242526[[#This Row],[Name Surname]],[1]Manpower!$C$4:$C$1048576,[1]Manpower!$B$4:$B$1048576,"")</f>
        <v>Al Asrah Al Mumayaza Trad</v>
      </c>
      <c r="E671" s="13" t="s">
        <v>32</v>
      </c>
      <c r="F671" s="12" t="e">
        <f>_xlfn.XLOOKUP([1]!Table134526_79101120212223242526[[#This Row],[Name Surname]],[1]Manpower!C:C,[1]Manpower!D:D,)</f>
        <v>#N/A</v>
      </c>
      <c r="G671" s="13" t="str">
        <f>_xlfn.XLOOKUP([1]!Table134526_79101120212223242526[[#This Row],[Name Surname]],[1]Manpower!$C$4:$C$1048576,[1]Manpower!$F$4:$F$1048576,"")</f>
        <v>PICK-UP</v>
      </c>
      <c r="H671" s="13" t="str">
        <f>_xlfn.XLOOKUP([1]!Table134526_79101120212223242526[[#This Row],[Name Surname]],[1]Manpower!$C$4:$C$1048576,[1]Manpower!$H$4:$H$1048576,"")</f>
        <v>Equipment</v>
      </c>
      <c r="I671" s="13" t="str">
        <f>_xlfn.XLOOKUP([1]!Table134526_79101120212223242526[[#This Row],[Name Surname]],[1]Manpower!$C$4:$C$1048576,[1]Manpower!$H$4:$H$1048576,"")</f>
        <v>Equipment</v>
      </c>
      <c r="J671" s="13" t="s">
        <v>23</v>
      </c>
      <c r="K671" s="13" t="s">
        <v>7</v>
      </c>
      <c r="L671" s="13" t="s">
        <v>25</v>
      </c>
      <c r="M671" s="13" t="s">
        <v>18</v>
      </c>
      <c r="N671" s="14">
        <v>10</v>
      </c>
      <c r="O671" s="13"/>
      <c r="P671" s="13"/>
      <c r="Q671" s="13"/>
      <c r="R671" s="13" t="s">
        <v>148</v>
      </c>
      <c r="S671" s="15"/>
    </row>
    <row r="672" spans="1:19" x14ac:dyDescent="0.3">
      <c r="A672" s="29" t="e">
        <f>IF(C672="","",MAX($A$2:A670)+1)</f>
        <v>#REF!</v>
      </c>
      <c r="B672" s="30" t="s">
        <v>36</v>
      </c>
      <c r="C672" s="3">
        <v>46107</v>
      </c>
      <c r="D672" s="5" t="str">
        <f>_xlfn.XLOOKUP([1]!Table134526_79101120212223242526[[#This Row],[Name Surname]],[1]Manpower!$C$4:$C$1048576,[1]Manpower!$B$4:$B$1048576,"")</f>
        <v>Al Asrah Al Mumayaza Trad</v>
      </c>
      <c r="E672" s="5" t="s">
        <v>34</v>
      </c>
      <c r="F672" s="4" t="e">
        <f>_xlfn.XLOOKUP([1]!Table134526_79101120212223242526[[#This Row],[Name Surname]],[1]Manpower!C:C,[1]Manpower!D:D,)</f>
        <v>#N/A</v>
      </c>
      <c r="G672" s="5" t="str">
        <f>_xlfn.XLOOKUP([1]!Table134526_79101120212223242526[[#This Row],[Name Surname]],[1]Manpower!$C$4:$C$1048576,[1]Manpower!$F$4:$F$1048576,"")</f>
        <v>PICK-UP</v>
      </c>
      <c r="H672" s="5" t="str">
        <f>_xlfn.XLOOKUP([1]!Table134526_79101120212223242526[[#This Row],[Name Surname]],[1]Manpower!$C$4:$C$1048576,[1]Manpower!$H$4:$H$1048576,"")</f>
        <v>Equipment</v>
      </c>
      <c r="I672" s="5" t="str">
        <f>_xlfn.XLOOKUP([1]!Table134526_79101120212223242526[[#This Row],[Name Surname]],[1]Manpower!$C$4:$C$1048576,[1]Manpower!$H$4:$H$1048576,"")</f>
        <v>Equipment</v>
      </c>
      <c r="J672" s="5" t="s">
        <v>23</v>
      </c>
      <c r="K672" s="5" t="s">
        <v>7</v>
      </c>
      <c r="L672" s="5" t="s">
        <v>25</v>
      </c>
      <c r="M672" s="5" t="s">
        <v>18</v>
      </c>
      <c r="N672" s="6">
        <v>10</v>
      </c>
      <c r="O672" s="5"/>
      <c r="P672" s="5"/>
      <c r="Q672" s="5"/>
      <c r="R672" s="5" t="s">
        <v>148</v>
      </c>
      <c r="S672" s="8"/>
    </row>
    <row r="673" spans="1:19" x14ac:dyDescent="0.3">
      <c r="A673" s="28" t="e">
        <f>IF(C673="","",MAX($A$2:A672)+1)</f>
        <v>#REF!</v>
      </c>
      <c r="B673" s="30" t="s">
        <v>36</v>
      </c>
      <c r="C673" s="11">
        <v>46107</v>
      </c>
      <c r="D673" s="13" t="str">
        <f>_xlfn.XLOOKUP([1]!Table134526_79101120212223242526[[#This Row],[Name Surname]],[1]Manpower!$C$4:$C$1048576,[1]Manpower!$B$4:$B$1048576,"")</f>
        <v>Al Asrah Al Mumayaza Trad</v>
      </c>
      <c r="E673" s="13" t="s">
        <v>120</v>
      </c>
      <c r="F673" s="12" t="e">
        <f>_xlfn.XLOOKUP([1]!Table134526_79101120212223242526[[#This Row],[Name Surname]],[1]Manpower!C:C,[1]Manpower!D:D,)</f>
        <v>#N/A</v>
      </c>
      <c r="G673" s="13" t="str">
        <f>_xlfn.XLOOKUP([1]!Table134526_79101120212223242526[[#This Row],[Name Surname]],[1]Manpower!$C$4:$C$1048576,[1]Manpower!$F$4:$F$1048576,"")</f>
        <v>PICK-UP</v>
      </c>
      <c r="H673" s="13" t="str">
        <f>_xlfn.XLOOKUP([1]!Table134526_79101120212223242526[[#This Row],[Name Surname]],[1]Manpower!$C$4:$C$1048576,[1]Manpower!$H$4:$H$1048576,"")</f>
        <v>Equipment</v>
      </c>
      <c r="I673" s="13" t="str">
        <f>_xlfn.XLOOKUP([1]!Table134526_79101120212223242526[[#This Row],[Name Surname]],[1]Manpower!$C$4:$C$1048576,[1]Manpower!$H$4:$H$1048576,"")</f>
        <v>Equipment</v>
      </c>
      <c r="J673" s="13" t="s">
        <v>23</v>
      </c>
      <c r="K673" s="13" t="s">
        <v>7</v>
      </c>
      <c r="L673" s="13" t="s">
        <v>25</v>
      </c>
      <c r="M673" s="13" t="s">
        <v>18</v>
      </c>
      <c r="N673" s="14">
        <v>10</v>
      </c>
      <c r="O673" s="13"/>
      <c r="P673" s="13"/>
      <c r="Q673" s="13"/>
      <c r="R673" s="13" t="s">
        <v>148</v>
      </c>
      <c r="S673" s="15"/>
    </row>
    <row r="674" spans="1:19" x14ac:dyDescent="0.3">
      <c r="A674" s="29" t="e">
        <f>IF(C674="","",MAX($A$2:A673)+1)</f>
        <v>#REF!</v>
      </c>
      <c r="B674" s="17" t="s">
        <v>36</v>
      </c>
      <c r="C674" s="3">
        <v>46107</v>
      </c>
      <c r="D674" s="5" t="str">
        <f>_xlfn.XLOOKUP([1]!Table134526_79101120212223242526[[#This Row],[Name Surname]],[1]Manpower!$C$4:$C$1048576,[1]Manpower!$B$4:$B$1048576,"")</f>
        <v>Al Asrah Al Mumayaza Trad</v>
      </c>
      <c r="E674" s="5" t="s">
        <v>43</v>
      </c>
      <c r="F674" s="4" t="e">
        <f>_xlfn.XLOOKUP([1]!Table134526_79101120212223242526[[#This Row],[Name Surname]],[1]Manpower!C:C,[1]Manpower!D:D,)</f>
        <v>#N/A</v>
      </c>
      <c r="G674" s="5" t="str">
        <f>_xlfn.XLOOKUP([1]!Table134526_79101120212223242526[[#This Row],[Name Surname]],[1]Manpower!$C$4:$C$1048576,[1]Manpower!$F$4:$F$1048576,"")</f>
        <v>PICK-UP</v>
      </c>
      <c r="H674" s="5" t="str">
        <f>_xlfn.XLOOKUP([1]!Table134526_79101120212223242526[[#This Row],[Name Surname]],[1]Manpower!$C$4:$C$1048576,[1]Manpower!$H$4:$H$1048576,"")</f>
        <v>Equipment</v>
      </c>
      <c r="I674" s="5" t="str">
        <f>_xlfn.XLOOKUP([1]!Table134526_79101120212223242526[[#This Row],[Name Surname]],[1]Manpower!$C$4:$C$1048576,[1]Manpower!$H$4:$H$1048576,"")</f>
        <v>Equipment</v>
      </c>
      <c r="J674" s="5" t="s">
        <v>38</v>
      </c>
      <c r="K674" s="5" t="s">
        <v>7</v>
      </c>
      <c r="L674" s="5" t="s">
        <v>39</v>
      </c>
      <c r="M674" s="5" t="s">
        <v>18</v>
      </c>
      <c r="N674" s="6">
        <v>10</v>
      </c>
      <c r="O674" s="5"/>
      <c r="P674" s="5"/>
      <c r="Q674" s="5"/>
      <c r="R674" s="5" t="s">
        <v>148</v>
      </c>
      <c r="S674" s="8"/>
    </row>
    <row r="675" spans="1:19" x14ac:dyDescent="0.3">
      <c r="A675" s="28" t="e">
        <f>IF(C675="","",MAX($A$2:A674)+1)</f>
        <v>#REF!</v>
      </c>
      <c r="B675" s="17" t="s">
        <v>36</v>
      </c>
      <c r="C675" s="11">
        <v>46107</v>
      </c>
      <c r="D675" s="13" t="str">
        <f>_xlfn.XLOOKUP([1]!Table134526_79101120212223242526[[#This Row],[Name Surname]],[1]Manpower!$C$4:$C$1048576,[1]Manpower!$B$4:$B$1048576,"")</f>
        <v>Encogroup</v>
      </c>
      <c r="E675" s="13" t="s">
        <v>37</v>
      </c>
      <c r="F675" s="12">
        <f>_xlfn.XLOOKUP([1]!Table134526_79101120212223242526[[#This Row],[Name Surname]],[1]Manpower!C:C,[1]Manpower!D:D,)</f>
        <v>140805592</v>
      </c>
      <c r="G675" s="13" t="str">
        <f>_xlfn.XLOOKUP([1]!Table134526_79101120212223242526[[#This Row],[Name Surname]],[1]Manpower!$C$4:$C$1048576,[1]Manpower!$F$4:$F$1048576,"")</f>
        <v>Assistant/Helper</v>
      </c>
      <c r="H675" s="13" t="str">
        <f>_xlfn.XLOOKUP([1]!Table134526_79101120212223242526[[#This Row],[Name Surname]],[1]Manpower!$C$4:$C$1048576,[1]Manpower!$H$4:$H$1048576,"")</f>
        <v>Manpower</v>
      </c>
      <c r="I675" s="13" t="str">
        <f>_xlfn.XLOOKUP([1]!Table134526_79101120212223242526[[#This Row],[Name Surname]],[1]Manpower!$C$4:$C$1048576,[1]Manpower!$H$4:$H$1048576,"")</f>
        <v>Manpower</v>
      </c>
      <c r="J675" s="13" t="s">
        <v>38</v>
      </c>
      <c r="K675" s="13" t="s">
        <v>7</v>
      </c>
      <c r="L675" s="13" t="s">
        <v>39</v>
      </c>
      <c r="M675" s="13" t="s">
        <v>18</v>
      </c>
      <c r="N675" s="14">
        <v>10</v>
      </c>
      <c r="O675" s="13"/>
      <c r="P675" s="13"/>
      <c r="Q675" s="13"/>
      <c r="R675" s="13" t="s">
        <v>148</v>
      </c>
      <c r="S675" s="15"/>
    </row>
    <row r="676" spans="1:19" x14ac:dyDescent="0.3">
      <c r="A676" s="29" t="e">
        <f>IF(C676="","",MAX($A$2:A675)+1)</f>
        <v>#REF!</v>
      </c>
      <c r="B676" s="17" t="s">
        <v>36</v>
      </c>
      <c r="C676" s="3">
        <v>46107</v>
      </c>
      <c r="D676" s="5" t="str">
        <f>_xlfn.XLOOKUP([1]!Table134526_79101120212223242526[[#This Row],[Name Surname]],[1]Manpower!$C$4:$C$1048576,[1]Manpower!$B$4:$B$1048576,"")</f>
        <v>Encogroup</v>
      </c>
      <c r="E676" s="5" t="s">
        <v>40</v>
      </c>
      <c r="F676" s="4">
        <f>_xlfn.XLOOKUP([1]!Table134526_79101120212223242526[[#This Row],[Name Surname]],[1]Manpower!C:C,[1]Manpower!D:D,)</f>
        <v>140683371</v>
      </c>
      <c r="G676" s="5" t="str">
        <f>_xlfn.XLOOKUP([1]!Table134526_79101120212223242526[[#This Row],[Name Surname]],[1]Manpower!$C$4:$C$1048576,[1]Manpower!$F$4:$F$1048576,"")</f>
        <v>Rigger</v>
      </c>
      <c r="H676" s="5" t="str">
        <f>_xlfn.XLOOKUP([1]!Table134526_79101120212223242526[[#This Row],[Name Surname]],[1]Manpower!$C$4:$C$1048576,[1]Manpower!$H$4:$H$1048576,"")</f>
        <v>Manpower</v>
      </c>
      <c r="I676" s="5" t="str">
        <f>_xlfn.XLOOKUP([1]!Table134526_79101120212223242526[[#This Row],[Name Surname]],[1]Manpower!$C$4:$C$1048576,[1]Manpower!$H$4:$H$1048576,"")</f>
        <v>Manpower</v>
      </c>
      <c r="J676" s="5" t="s">
        <v>38</v>
      </c>
      <c r="K676" s="5" t="s">
        <v>7</v>
      </c>
      <c r="L676" s="5" t="s">
        <v>39</v>
      </c>
      <c r="M676" s="5" t="s">
        <v>18</v>
      </c>
      <c r="N676" s="6">
        <v>10</v>
      </c>
      <c r="O676" s="5"/>
      <c r="P676" s="5"/>
      <c r="Q676" s="5"/>
      <c r="R676" s="5" t="s">
        <v>148</v>
      </c>
      <c r="S676" s="8"/>
    </row>
    <row r="677" spans="1:19" x14ac:dyDescent="0.3">
      <c r="A677" s="28" t="e">
        <f>IF(C677="","",MAX($A$2:A675)+1)</f>
        <v>#REF!</v>
      </c>
      <c r="B677" s="17" t="s">
        <v>36</v>
      </c>
      <c r="C677" s="11">
        <v>46107</v>
      </c>
      <c r="D677" s="13" t="str">
        <f>_xlfn.XLOOKUP([1]!Table134526_79101120212223242526[[#This Row],[Name Surname]],[1]Manpower!$C$4:$C$1048576,[1]Manpower!$B$4:$B$1048576,"")</f>
        <v>Encogroup</v>
      </c>
      <c r="E677" s="13" t="s">
        <v>45</v>
      </c>
      <c r="F677" s="12">
        <f>_xlfn.XLOOKUP([1]!Table134526_79101120212223242526[[#This Row],[Name Surname]],[1]Manpower!C:C,[1]Manpower!D:D,)</f>
        <v>140844572</v>
      </c>
      <c r="G677" s="13" t="str">
        <f>_xlfn.XLOOKUP([1]!Table134526_79101120212223242526[[#This Row],[Name Surname]],[1]Manpower!$C$4:$C$1048576,[1]Manpower!$F$4:$F$1048576,"")</f>
        <v>Assistant/Helper</v>
      </c>
      <c r="H677" s="13" t="str">
        <f>_xlfn.XLOOKUP([1]!Table134526_79101120212223242526[[#This Row],[Name Surname]],[1]Manpower!$C$4:$C$1048576,[1]Manpower!$H$4:$H$1048576,"")</f>
        <v>Manpower</v>
      </c>
      <c r="I677" s="13" t="str">
        <f>_xlfn.XLOOKUP([1]!Table134526_79101120212223242526[[#This Row],[Name Surname]],[1]Manpower!$C$4:$C$1048576,[1]Manpower!$H$4:$H$1048576,"")</f>
        <v>Manpower</v>
      </c>
      <c r="J677" s="13" t="s">
        <v>38</v>
      </c>
      <c r="K677" s="13" t="s">
        <v>7</v>
      </c>
      <c r="L677" s="13" t="s">
        <v>39</v>
      </c>
      <c r="M677" s="13" t="s">
        <v>18</v>
      </c>
      <c r="N677" s="14">
        <v>10</v>
      </c>
      <c r="O677" s="13"/>
      <c r="P677" s="13"/>
      <c r="Q677" s="13"/>
      <c r="R677" s="13" t="s">
        <v>148</v>
      </c>
      <c r="S677" s="15"/>
    </row>
    <row r="678" spans="1:19" x14ac:dyDescent="0.3">
      <c r="A678" s="29" t="e">
        <f>IF(C678="","",MAX($A$2:A677)+1)</f>
        <v>#REF!</v>
      </c>
      <c r="B678" s="17" t="s">
        <v>36</v>
      </c>
      <c r="C678" s="3">
        <v>46107</v>
      </c>
      <c r="D678" s="5" t="str">
        <f>_xlfn.XLOOKUP([1]!Table134526_79101120212223242526[[#This Row],[Name Surname]],[1]Manpower!$C$4:$C$1048576,[1]Manpower!$B$4:$B$1048576,"")</f>
        <v>Encogroup</v>
      </c>
      <c r="E678" s="5" t="s">
        <v>48</v>
      </c>
      <c r="F678" s="4">
        <f>_xlfn.XLOOKUP([1]!Table134526_79101120212223242526[[#This Row],[Name Surname]],[1]Manpower!C:C,[1]Manpower!D:D,)</f>
        <v>140844848</v>
      </c>
      <c r="G678" s="5" t="str">
        <f>_xlfn.XLOOKUP([1]!Table134526_79101120212223242526[[#This Row],[Name Surname]],[1]Manpower!$C$4:$C$1048576,[1]Manpower!$F$4:$F$1048576,"")</f>
        <v>Assistant/Helper</v>
      </c>
      <c r="H678" s="5" t="str">
        <f>_xlfn.XLOOKUP([1]!Table134526_79101120212223242526[[#This Row],[Name Surname]],[1]Manpower!$C$4:$C$1048576,[1]Manpower!$H$4:$H$1048576,"")</f>
        <v>Manpower</v>
      </c>
      <c r="I678" s="5" t="str">
        <f>_xlfn.XLOOKUP([1]!Table134526_79101120212223242526[[#This Row],[Name Surname]],[1]Manpower!$C$4:$C$1048576,[1]Manpower!$H$4:$H$1048576,"")</f>
        <v>Manpower</v>
      </c>
      <c r="J678" s="5" t="s">
        <v>38</v>
      </c>
      <c r="K678" s="5" t="s">
        <v>7</v>
      </c>
      <c r="L678" s="5" t="s">
        <v>39</v>
      </c>
      <c r="M678" s="5" t="s">
        <v>18</v>
      </c>
      <c r="N678" s="6">
        <v>10</v>
      </c>
      <c r="O678" s="5"/>
      <c r="P678" s="5"/>
      <c r="Q678" s="5"/>
      <c r="R678" s="5" t="s">
        <v>148</v>
      </c>
      <c r="S678" s="8"/>
    </row>
    <row r="679" spans="1:19" x14ac:dyDescent="0.3">
      <c r="A679" s="28" t="e">
        <f>IF(C679="","",MAX($A$2:A678)+1)</f>
        <v>#REF!</v>
      </c>
      <c r="B679" s="17" t="s">
        <v>36</v>
      </c>
      <c r="C679" s="11">
        <v>46107</v>
      </c>
      <c r="D679" s="13" t="str">
        <f>_xlfn.XLOOKUP([1]!Table134526_79101120212223242526[[#This Row],[Name Surname]],[1]Manpower!$C$4:$C$1048576,[1]Manpower!$B$4:$B$1048576,"")</f>
        <v>Encogroup</v>
      </c>
      <c r="E679" s="13" t="s">
        <v>49</v>
      </c>
      <c r="F679" s="12">
        <f>_xlfn.XLOOKUP([1]!Table134526_79101120212223242526[[#This Row],[Name Surname]],[1]Manpower!C:C,[1]Manpower!D:D,)</f>
        <v>141359216</v>
      </c>
      <c r="G679" s="13" t="str">
        <f>_xlfn.XLOOKUP([1]!Table134526_79101120212223242526[[#This Row],[Name Surname]],[1]Manpower!$C$4:$C$1048576,[1]Manpower!$F$4:$F$1048576,"")</f>
        <v>Electrician</v>
      </c>
      <c r="H679" s="13" t="str">
        <f>_xlfn.XLOOKUP([1]!Table134526_79101120212223242526[[#This Row],[Name Surname]],[1]Manpower!$C$4:$C$1048576,[1]Manpower!$H$4:$H$1048576,"")</f>
        <v>Manpower</v>
      </c>
      <c r="I679" s="13" t="str">
        <f>_xlfn.XLOOKUP([1]!Table134526_79101120212223242526[[#This Row],[Name Surname]],[1]Manpower!$C$4:$C$1048576,[1]Manpower!$H$4:$H$1048576,"")</f>
        <v>Manpower</v>
      </c>
      <c r="J679" s="13" t="s">
        <v>38</v>
      </c>
      <c r="K679" s="13" t="s">
        <v>7</v>
      </c>
      <c r="L679" s="13" t="s">
        <v>39</v>
      </c>
      <c r="M679" s="13" t="s">
        <v>18</v>
      </c>
      <c r="N679" s="14">
        <v>10</v>
      </c>
      <c r="O679" s="13"/>
      <c r="P679" s="13"/>
      <c r="Q679" s="13"/>
      <c r="R679" s="13" t="s">
        <v>148</v>
      </c>
      <c r="S679" s="15"/>
    </row>
    <row r="680" spans="1:19" x14ac:dyDescent="0.3">
      <c r="A680" s="29" t="e">
        <f>IF(C680="","",MAX($A$2:A679)+1)</f>
        <v>#REF!</v>
      </c>
      <c r="B680" s="17" t="s">
        <v>36</v>
      </c>
      <c r="C680" s="3">
        <v>46107</v>
      </c>
      <c r="D680" s="5" t="str">
        <f>_xlfn.XLOOKUP([1]!Table134526_79101120212223242526[[#This Row],[Name Surname]],[1]Manpower!$C$4:$C$1048576,[1]Manpower!$B$4:$B$1048576,"")</f>
        <v>Encogroup</v>
      </c>
      <c r="E680" s="5" t="s">
        <v>50</v>
      </c>
      <c r="F680" s="4">
        <f>_xlfn.XLOOKUP([1]!Table134526_79101120212223242526[[#This Row],[Name Surname]],[1]Manpower!C:C,[1]Manpower!D:D,)</f>
        <v>140683399</v>
      </c>
      <c r="G680" s="5" t="str">
        <f>_xlfn.XLOOKUP([1]!Table134526_79101120212223242526[[#This Row],[Name Surname]],[1]Manpower!$C$4:$C$1048576,[1]Manpower!$F$4:$F$1048576,"")</f>
        <v>Rigger</v>
      </c>
      <c r="H680" s="5" t="str">
        <f>_xlfn.XLOOKUP([1]!Table134526_79101120212223242526[[#This Row],[Name Surname]],[1]Manpower!$C$4:$C$1048576,[1]Manpower!$H$4:$H$1048576,"")</f>
        <v>Manpower</v>
      </c>
      <c r="I680" s="5" t="str">
        <f>_xlfn.XLOOKUP([1]!Table134526_79101120212223242526[[#This Row],[Name Surname]],[1]Manpower!$C$4:$C$1048576,[1]Manpower!$H$4:$H$1048576,"")</f>
        <v>Manpower</v>
      </c>
      <c r="J680" s="5" t="s">
        <v>38</v>
      </c>
      <c r="K680" s="5" t="s">
        <v>7</v>
      </c>
      <c r="L680" s="5" t="s">
        <v>39</v>
      </c>
      <c r="M680" s="5" t="s">
        <v>18</v>
      </c>
      <c r="N680" s="6">
        <v>10</v>
      </c>
      <c r="O680" s="5"/>
      <c r="P680" s="5"/>
      <c r="Q680" s="5"/>
      <c r="R680" s="5" t="s">
        <v>148</v>
      </c>
      <c r="S680" s="8"/>
    </row>
    <row r="681" spans="1:19" x14ac:dyDescent="0.3">
      <c r="A681" s="28" t="e">
        <f>IF(C681="","",MAX($A$2:A680)+1)</f>
        <v>#REF!</v>
      </c>
      <c r="B681" s="17" t="s">
        <v>36</v>
      </c>
      <c r="C681" s="11">
        <v>46107</v>
      </c>
      <c r="D681" s="13" t="str">
        <f>_xlfn.XLOOKUP([1]!Table134526_79101120212223242526[[#This Row],[Name Surname]],[1]Manpower!$C$4:$C$1048576,[1]Manpower!$B$4:$B$1048576,"")</f>
        <v>Encogroup</v>
      </c>
      <c r="E681" s="11" t="s">
        <v>51</v>
      </c>
      <c r="F681" s="12">
        <f>_xlfn.XLOOKUP([1]!Table134526_79101120212223242526[[#This Row],[Name Surname]],[1]Manpower!C:C,[1]Manpower!D:D,)</f>
        <v>141365164</v>
      </c>
      <c r="G681" s="13" t="str">
        <f>_xlfn.XLOOKUP([1]!Table134526_79101120212223242526[[#This Row],[Name Surname]],[1]Manpower!$C$4:$C$1048576,[1]Manpower!$F$4:$F$1048576,"")</f>
        <v>Helper</v>
      </c>
      <c r="H681" s="13" t="str">
        <f>_xlfn.XLOOKUP([1]!Table134526_79101120212223242526[[#This Row],[Name Surname]],[1]Manpower!$C$4:$C$1048576,[1]Manpower!$H$4:$H$1048576,"")</f>
        <v>Manpower</v>
      </c>
      <c r="I681" s="13" t="str">
        <f>_xlfn.XLOOKUP([1]!Table134526_79101120212223242526[[#This Row],[Name Surname]],[1]Manpower!$C$4:$C$1048576,[1]Manpower!$H$4:$H$1048576,"")</f>
        <v>Manpower</v>
      </c>
      <c r="J681" s="13" t="s">
        <v>38</v>
      </c>
      <c r="K681" s="13" t="s">
        <v>7</v>
      </c>
      <c r="L681" s="13" t="s">
        <v>39</v>
      </c>
      <c r="M681" s="13" t="s">
        <v>18</v>
      </c>
      <c r="N681" s="14">
        <v>10</v>
      </c>
      <c r="O681" s="13"/>
      <c r="P681" s="13"/>
      <c r="Q681" s="13"/>
      <c r="R681" s="13" t="s">
        <v>148</v>
      </c>
      <c r="S681" s="15"/>
    </row>
    <row r="682" spans="1:19" x14ac:dyDescent="0.3">
      <c r="A682" s="29" t="e">
        <f>IF(C682="","",MAX($A$2:A681)+1)</f>
        <v>#REF!</v>
      </c>
      <c r="B682" s="17" t="s">
        <v>36</v>
      </c>
      <c r="C682" s="3">
        <v>46107</v>
      </c>
      <c r="D682" s="5" t="str">
        <f>_xlfn.XLOOKUP([1]!Table134526_79101120212223242526[[#This Row],[Name Surname]],[1]Manpower!$C$4:$C$1048576,[1]Manpower!$B$4:$B$1048576,"")</f>
        <v>Bright Light</v>
      </c>
      <c r="E682" s="5" t="s">
        <v>112</v>
      </c>
      <c r="F682" s="4" t="e">
        <f>_xlfn.XLOOKUP([1]!Table134526_79101120212223242526[[#This Row],[Name Surname]],[1]Manpower!C:C,[1]Manpower!D:D,)</f>
        <v>#N/A</v>
      </c>
      <c r="G682" s="5" t="str">
        <f>_xlfn.XLOOKUP([1]!Table134526_79101120212223242526[[#This Row],[Name Surname]],[1]Manpower!$C$4:$C$1048576,[1]Manpower!$F$4:$F$1048576,"")</f>
        <v>Trailer</v>
      </c>
      <c r="H682" s="5" t="str">
        <f>_xlfn.XLOOKUP([1]!Table134526_79101120212223242526[[#This Row],[Name Surname]],[1]Manpower!$C$4:$C$1048576,[1]Manpower!$H$4:$H$1048576,"")</f>
        <v>Equipment</v>
      </c>
      <c r="I682" s="5" t="str">
        <f>_xlfn.XLOOKUP([1]!Table134526_79101120212223242526[[#This Row],[Name Surname]],[1]Manpower!$C$4:$C$1048576,[1]Manpower!$H$4:$H$1048576,"")</f>
        <v>Equipment</v>
      </c>
      <c r="J682" s="5" t="s">
        <v>38</v>
      </c>
      <c r="K682" s="5" t="s">
        <v>7</v>
      </c>
      <c r="L682" s="5" t="s">
        <v>39</v>
      </c>
      <c r="M682" s="5" t="s">
        <v>18</v>
      </c>
      <c r="N682" s="6">
        <v>10</v>
      </c>
      <c r="O682" s="5"/>
      <c r="P682" s="5"/>
      <c r="Q682" s="5"/>
      <c r="R682" s="5" t="s">
        <v>148</v>
      </c>
      <c r="S682" s="8"/>
    </row>
    <row r="683" spans="1:19" x14ac:dyDescent="0.3">
      <c r="A683" s="28" t="e">
        <f>IF(C683="","",MAX($A$2:A682)+1)</f>
        <v>#REF!</v>
      </c>
      <c r="B683" s="17" t="s">
        <v>36</v>
      </c>
      <c r="C683" s="11">
        <v>46107</v>
      </c>
      <c r="D683" s="13" t="str">
        <f>_xlfn.XLOOKUP([1]!Table134526_79101120212223242526[[#This Row],[Name Surname]],[1]Manpower!$C$4:$C$1048576,[1]Manpower!$B$4:$B$1048576,"")</f>
        <v>Encogroup</v>
      </c>
      <c r="E683" s="11" t="s">
        <v>52</v>
      </c>
      <c r="F683" s="12">
        <f>_xlfn.XLOOKUP([1]!Table134526_79101120212223242526[[#This Row],[Name Surname]],[1]Manpower!C:C,[1]Manpower!D:D,)</f>
        <v>140477664</v>
      </c>
      <c r="G683" s="13" t="str">
        <f>_xlfn.XLOOKUP([1]!Table134526_79101120212223242526[[#This Row],[Name Surname]],[1]Manpower!$C$4:$C$1048576,[1]Manpower!$F$4:$F$1048576,"")</f>
        <v>Junior HSE Officer</v>
      </c>
      <c r="H683" s="13" t="str">
        <f>_xlfn.XLOOKUP([1]!Table134526_79101120212223242526[[#This Row],[Name Surname]],[1]Manpower!$C$4:$C$1048576,[1]Manpower!$H$4:$H$1048576,"")</f>
        <v>Manpower</v>
      </c>
      <c r="I683" s="13" t="str">
        <f>_xlfn.XLOOKUP([1]!Table134526_79101120212223242526[[#This Row],[Name Surname]],[1]Manpower!$C$4:$C$1048576,[1]Manpower!$H$4:$H$1048576,"")</f>
        <v>Manpower</v>
      </c>
      <c r="J683" s="13" t="s">
        <v>38</v>
      </c>
      <c r="K683" s="13" t="s">
        <v>7</v>
      </c>
      <c r="L683" s="13" t="s">
        <v>39</v>
      </c>
      <c r="M683" s="13" t="s">
        <v>18</v>
      </c>
      <c r="N683" s="14">
        <v>10</v>
      </c>
      <c r="O683" s="13"/>
      <c r="P683" s="13"/>
      <c r="Q683" s="13"/>
      <c r="R683" s="13" t="s">
        <v>148</v>
      </c>
      <c r="S683" s="15"/>
    </row>
    <row r="684" spans="1:19" x14ac:dyDescent="0.3">
      <c r="A684" s="29" t="e">
        <f>IF(C684="","",MAX($A$2:A683)+1)</f>
        <v>#REF!</v>
      </c>
      <c r="B684" s="17" t="s">
        <v>36</v>
      </c>
      <c r="C684" s="3">
        <v>46107</v>
      </c>
      <c r="D684" s="5" t="str">
        <f>_xlfn.XLOOKUP([1]!Table134526_79101120212223242526[[#This Row],[Name Surname]],[1]Manpower!$C$4:$C$1048576,[1]Manpower!$B$4:$B$1048576,"")</f>
        <v>AL Omar International TRAD AND CONT</v>
      </c>
      <c r="E684" s="5" t="s">
        <v>53</v>
      </c>
      <c r="F684" s="4">
        <f>_xlfn.XLOOKUP([1]!Table134526_79101120212223242526[[#This Row],[Name Surname]],[1]Manpower!C:C,[1]Manpower!D:D,)</f>
        <v>116676257</v>
      </c>
      <c r="G684" s="5" t="str">
        <f>_xlfn.XLOOKUP([1]!Table134526_79101120212223242526[[#This Row],[Name Surname]],[1]Manpower!$C$4:$C$1048576,[1]Manpower!$F$4:$F$1048576,"")</f>
        <v>Scaffolder</v>
      </c>
      <c r="H684" s="5" t="str">
        <f>_xlfn.XLOOKUP([1]!Table134526_79101120212223242526[[#This Row],[Name Surname]],[1]Manpower!$C$4:$C$1048576,[1]Manpower!$H$4:$H$1048576,"")</f>
        <v>Sub Contactor</v>
      </c>
      <c r="I684" s="5" t="str">
        <f>_xlfn.XLOOKUP([1]!Table134526_79101120212223242526[[#This Row],[Name Surname]],[1]Manpower!$C$4:$C$1048576,[1]Manpower!$H$4:$H$1048576,"")</f>
        <v>Sub Contactor</v>
      </c>
      <c r="J684" s="5" t="s">
        <v>38</v>
      </c>
      <c r="K684" s="5" t="s">
        <v>7</v>
      </c>
      <c r="L684" s="5" t="s">
        <v>39</v>
      </c>
      <c r="M684" s="5" t="s">
        <v>18</v>
      </c>
      <c r="N684" s="6">
        <v>10</v>
      </c>
      <c r="O684" s="5"/>
      <c r="P684" s="5"/>
      <c r="Q684" s="5"/>
      <c r="R684" s="5" t="s">
        <v>148</v>
      </c>
      <c r="S684" s="8"/>
    </row>
    <row r="685" spans="1:19" x14ac:dyDescent="0.3">
      <c r="A685" s="28" t="e">
        <f>IF(C685="","",MAX($A$2:A684)+1)</f>
        <v>#REF!</v>
      </c>
      <c r="B685" s="17" t="s">
        <v>36</v>
      </c>
      <c r="C685" s="11">
        <v>46107</v>
      </c>
      <c r="D685" s="13" t="str">
        <f>_xlfn.XLOOKUP([1]!Table134526_79101120212223242526[[#This Row],[Name Surname]],[1]Manpower!$C$4:$C$1048576,[1]Manpower!$B$4:$B$1048576,"")</f>
        <v>Encogroup</v>
      </c>
      <c r="E685" s="13" t="s">
        <v>54</v>
      </c>
      <c r="F685" s="12">
        <f>_xlfn.XLOOKUP([1]!Table134526_79101120212223242526[[#This Row],[Name Surname]],[1]Manpower!C:C,[1]Manpower!D:D,)</f>
        <v>140846698</v>
      </c>
      <c r="G685" s="13" t="str">
        <f>_xlfn.XLOOKUP([1]!Table134526_79101120212223242526[[#This Row],[Name Surname]],[1]Manpower!$C$4:$C$1048576,[1]Manpower!$F$4:$F$1048576,"")</f>
        <v>Assistant/Helper</v>
      </c>
      <c r="H685" s="13" t="str">
        <f>_xlfn.XLOOKUP([1]!Table134526_79101120212223242526[[#This Row],[Name Surname]],[1]Manpower!$C$4:$C$1048576,[1]Manpower!$H$4:$H$1048576,"")</f>
        <v>Manpower</v>
      </c>
      <c r="I685" s="13" t="str">
        <f>_xlfn.XLOOKUP([1]!Table134526_79101120212223242526[[#This Row],[Name Surname]],[1]Manpower!$C$4:$C$1048576,[1]Manpower!$H$4:$H$1048576,"")</f>
        <v>Manpower</v>
      </c>
      <c r="J685" s="13" t="s">
        <v>38</v>
      </c>
      <c r="K685" s="13" t="s">
        <v>7</v>
      </c>
      <c r="L685" s="13" t="s">
        <v>39</v>
      </c>
      <c r="M685" s="13" t="s">
        <v>18</v>
      </c>
      <c r="N685" s="14">
        <v>10</v>
      </c>
      <c r="O685" s="13"/>
      <c r="P685" s="13"/>
      <c r="Q685" s="13"/>
      <c r="R685" s="13" t="s">
        <v>148</v>
      </c>
      <c r="S685" s="15"/>
    </row>
    <row r="686" spans="1:19" x14ac:dyDescent="0.3">
      <c r="A686" s="29" t="e">
        <f>IF(C686="","",MAX($A$2:A685)+1)</f>
        <v>#REF!</v>
      </c>
      <c r="B686" s="17" t="s">
        <v>36</v>
      </c>
      <c r="C686" s="3">
        <v>46107</v>
      </c>
      <c r="D686" s="5" t="str">
        <f>_xlfn.XLOOKUP([1]!Table134526_79101120212223242526[[#This Row],[Name Surname]],[1]Manpower!$C$4:$C$1048576,[1]Manpower!$B$4:$B$1048576,"")</f>
        <v>SARENS NASS</v>
      </c>
      <c r="E686" s="5" t="s">
        <v>55</v>
      </c>
      <c r="F686" s="4">
        <f>_xlfn.XLOOKUP([1]!Table134526_79101120212223242526[[#This Row],[Name Surname]],[1]Manpower!C:C,[1]Manpower!D:D,)</f>
        <v>109957631</v>
      </c>
      <c r="G686" s="5" t="str">
        <f>_xlfn.XLOOKUP([1]!Table134526_79101120212223242526[[#This Row],[Name Surname]],[1]Manpower!$C$4:$C$1048576,[1]Manpower!$F$4:$F$1048576,"")</f>
        <v>Crane Operator-130T Liebherr Crawler</v>
      </c>
      <c r="H686" s="5" t="str">
        <f>_xlfn.XLOOKUP([1]!Table134526_79101120212223242526[[#This Row],[Name Surname]],[1]Manpower!$C$4:$C$1048576,[1]Manpower!$H$4:$H$1048576,"")</f>
        <v>Manpower</v>
      </c>
      <c r="I686" s="5" t="str">
        <f>_xlfn.XLOOKUP([1]!Table134526_79101120212223242526[[#This Row],[Name Surname]],[1]Manpower!$C$4:$C$1048576,[1]Manpower!$H$4:$H$1048576,"")</f>
        <v>Manpower</v>
      </c>
      <c r="J686" s="5" t="s">
        <v>38</v>
      </c>
      <c r="K686" s="5" t="s">
        <v>7</v>
      </c>
      <c r="L686" s="5" t="s">
        <v>39</v>
      </c>
      <c r="M686" s="5" t="s">
        <v>18</v>
      </c>
      <c r="N686" s="6">
        <v>10</v>
      </c>
      <c r="O686" s="5"/>
      <c r="P686" s="5"/>
      <c r="Q686" s="5"/>
      <c r="R686" s="5" t="s">
        <v>148</v>
      </c>
      <c r="S686" s="8"/>
    </row>
    <row r="687" spans="1:19" x14ac:dyDescent="0.3">
      <c r="A687" s="28" t="e">
        <f>IF(C687="","",MAX($A$2:A686)+1)</f>
        <v>#REF!</v>
      </c>
      <c r="B687" s="17" t="s">
        <v>36</v>
      </c>
      <c r="C687" s="11">
        <v>46107</v>
      </c>
      <c r="D687" s="13" t="str">
        <f>_xlfn.XLOOKUP([1]!Table134526_79101120212223242526[[#This Row],[Name Surname]],[1]Manpower!$C$4:$C$1048576,[1]Manpower!$B$4:$B$1048576,"")</f>
        <v>Encogroup</v>
      </c>
      <c r="E687" s="13" t="s">
        <v>56</v>
      </c>
      <c r="F687" s="12">
        <f>_xlfn.XLOOKUP([1]!Table134526_79101120212223242526[[#This Row],[Name Surname]],[1]Manpower!C:C,[1]Manpower!D:D,)</f>
        <v>140742177</v>
      </c>
      <c r="G687" s="13" t="str">
        <f>_xlfn.XLOOKUP([1]!Table134526_79101120212223242526[[#This Row],[Name Surname]],[1]Manpower!$C$4:$C$1048576,[1]Manpower!$F$4:$F$1048576,"")</f>
        <v>Grinder</v>
      </c>
      <c r="H687" s="13" t="str">
        <f>_xlfn.XLOOKUP([1]!Table134526_79101120212223242526[[#This Row],[Name Surname]],[1]Manpower!$C$4:$C$1048576,[1]Manpower!$H$4:$H$1048576,"")</f>
        <v>Manpower</v>
      </c>
      <c r="I687" s="13" t="str">
        <f>_xlfn.XLOOKUP([1]!Table134526_79101120212223242526[[#This Row],[Name Surname]],[1]Manpower!$C$4:$C$1048576,[1]Manpower!$H$4:$H$1048576,"")</f>
        <v>Manpower</v>
      </c>
      <c r="J687" s="13" t="s">
        <v>38</v>
      </c>
      <c r="K687" s="13" t="s">
        <v>7</v>
      </c>
      <c r="L687" s="13" t="s">
        <v>39</v>
      </c>
      <c r="M687" s="13" t="s">
        <v>18</v>
      </c>
      <c r="N687" s="14">
        <v>10</v>
      </c>
      <c r="O687" s="13"/>
      <c r="P687" s="13"/>
      <c r="Q687" s="13"/>
      <c r="R687" s="13" t="s">
        <v>148</v>
      </c>
      <c r="S687" s="15"/>
    </row>
    <row r="688" spans="1:19" x14ac:dyDescent="0.3">
      <c r="A688" s="29" t="e">
        <f>IF(C688="","",MAX($A$2:A687)+1)</f>
        <v>#REF!</v>
      </c>
      <c r="B688" s="17" t="s">
        <v>36</v>
      </c>
      <c r="C688" s="3">
        <v>46107</v>
      </c>
      <c r="D688" s="5" t="str">
        <f>_xlfn.XLOOKUP([1]!Table134526_79101120212223242526[[#This Row],[Name Surname]],[1]Manpower!$C$4:$C$1048576,[1]Manpower!$B$4:$B$1048576,"")</f>
        <v>Encogroup</v>
      </c>
      <c r="E688" s="5" t="s">
        <v>111</v>
      </c>
      <c r="F688" s="4">
        <f>_xlfn.XLOOKUP([1]!Table134526_79101120212223242526[[#This Row],[Name Surname]],[1]Manpower!C:C,[1]Manpower!D:D,)</f>
        <v>116853914</v>
      </c>
      <c r="G688" s="5" t="str">
        <f>_xlfn.XLOOKUP([1]!Table134526_79101120212223242526[[#This Row],[Name Surname]],[1]Manpower!$C$4:$C$1048576,[1]Manpower!$F$4:$F$1048576,"")</f>
        <v>Electrical Supervisor</v>
      </c>
      <c r="H688" s="5" t="str">
        <f>_xlfn.XLOOKUP([1]!Table134526_79101120212223242526[[#This Row],[Name Surname]],[1]Manpower!$C$4:$C$1048576,[1]Manpower!$H$4:$H$1048576,"")</f>
        <v>Manpower</v>
      </c>
      <c r="I688" s="5" t="str">
        <f>_xlfn.XLOOKUP([1]!Table134526_79101120212223242526[[#This Row],[Name Surname]],[1]Manpower!$C$4:$C$1048576,[1]Manpower!$H$4:$H$1048576,"")</f>
        <v>Manpower</v>
      </c>
      <c r="J688" s="5" t="s">
        <v>38</v>
      </c>
      <c r="K688" s="5" t="s">
        <v>7</v>
      </c>
      <c r="L688" s="5" t="s">
        <v>39</v>
      </c>
      <c r="M688" s="5" t="s">
        <v>18</v>
      </c>
      <c r="N688" s="6">
        <v>10</v>
      </c>
      <c r="O688" s="5"/>
      <c r="P688" s="5"/>
      <c r="Q688" s="5"/>
      <c r="R688" s="5" t="s">
        <v>19</v>
      </c>
      <c r="S688" s="8"/>
    </row>
    <row r="689" spans="1:19" x14ac:dyDescent="0.3">
      <c r="A689" s="28" t="e">
        <f>IF(C689="","",MAX($A$2:A687)+1)</f>
        <v>#REF!</v>
      </c>
      <c r="B689" s="17" t="s">
        <v>36</v>
      </c>
      <c r="C689" s="11">
        <v>46107</v>
      </c>
      <c r="D689" s="13" t="str">
        <f>_xlfn.XLOOKUP([1]!Table134526_79101120212223242526[[#This Row],[Name Surname]],[1]Manpower!$C$4:$C$1048576,[1]Manpower!$B$4:$B$1048576,"")</f>
        <v>Encogroup</v>
      </c>
      <c r="E689" s="13" t="s">
        <v>112</v>
      </c>
      <c r="F689" s="12" t="e">
        <f>_xlfn.XLOOKUP([1]!Table134526_79101120212223242526[[#This Row],[Name Surname]],[1]Manpower!C:C,[1]Manpower!D:D,)</f>
        <v>#N/A</v>
      </c>
      <c r="G689" s="13" t="str">
        <f>_xlfn.XLOOKUP([1]!Table134526_79101120212223242526[[#This Row],[Name Surname]],[1]Manpower!$C$4:$C$1048576,[1]Manpower!$F$4:$F$1048576,"")</f>
        <v>TOWER LIGHT</v>
      </c>
      <c r="H689" s="13" t="str">
        <f>_xlfn.XLOOKUP([1]!Table134526_79101120212223242526[[#This Row],[Name Surname]],[1]Manpower!$C$4:$C$1048576,[1]Manpower!$H$4:$H$1048576,"")</f>
        <v>Equipment</v>
      </c>
      <c r="I689" s="13" t="str">
        <f>_xlfn.XLOOKUP([1]!Table134526_79101120212223242526[[#This Row],[Name Surname]],[1]Manpower!$C$4:$C$1048576,[1]Manpower!$H$4:$H$1048576,"")</f>
        <v>Equipment</v>
      </c>
      <c r="J689" s="13" t="s">
        <v>38</v>
      </c>
      <c r="K689" s="13" t="s">
        <v>7</v>
      </c>
      <c r="L689" s="13" t="s">
        <v>39</v>
      </c>
      <c r="M689" s="13" t="s">
        <v>18</v>
      </c>
      <c r="N689" s="14">
        <v>10</v>
      </c>
      <c r="O689" s="13"/>
      <c r="P689" s="13"/>
      <c r="Q689" s="13"/>
      <c r="R689" s="13" t="s">
        <v>19</v>
      </c>
      <c r="S689" s="15"/>
    </row>
    <row r="690" spans="1:19" x14ac:dyDescent="0.3">
      <c r="A690" s="29" t="e">
        <f>IF(C690="","",MAX($A$2:A687)+1)</f>
        <v>#REF!</v>
      </c>
      <c r="B690" s="17" t="s">
        <v>36</v>
      </c>
      <c r="C690" s="3">
        <v>46107</v>
      </c>
      <c r="D690" s="5" t="str">
        <f>_xlfn.XLOOKUP([1]!Table134526_79101120212223242526[[#This Row],[Name Surname]],[1]Manpower!$C$4:$C$1048576,[1]Manpower!$B$4:$B$1048576,"")</f>
        <v>Encogroup</v>
      </c>
      <c r="E690" s="5" t="s">
        <v>123</v>
      </c>
      <c r="F690" s="4" t="e">
        <f>_xlfn.XLOOKUP([1]!Table134526_79101120212223242526[[#This Row],[Name Surname]],[1]Manpower!C:C,[1]Manpower!D:D,)</f>
        <v>#N/A</v>
      </c>
      <c r="G690" s="5" t="str">
        <f>_xlfn.XLOOKUP([1]!Table134526_79101120212223242526[[#This Row],[Name Surname]],[1]Manpower!$C$4:$C$1048576,[1]Manpower!$F$4:$F$1048576,"")</f>
        <v>TOWER LIGHT</v>
      </c>
      <c r="H690" s="5" t="str">
        <f>_xlfn.XLOOKUP([1]!Table134526_79101120212223242526[[#This Row],[Name Surname]],[1]Manpower!$C$4:$C$1048576,[1]Manpower!$H$4:$H$1048576,"")</f>
        <v>Equipment</v>
      </c>
      <c r="I690" s="5" t="str">
        <f>_xlfn.XLOOKUP([1]!Table134526_79101120212223242526[[#This Row],[Name Surname]],[1]Manpower!$C$4:$C$1048576,[1]Manpower!$H$4:$H$1048576,"")</f>
        <v>Equipment</v>
      </c>
      <c r="J690" s="5" t="s">
        <v>38</v>
      </c>
      <c r="K690" s="5" t="s">
        <v>7</v>
      </c>
      <c r="L690" s="5" t="s">
        <v>39</v>
      </c>
      <c r="M690" s="5" t="s">
        <v>18</v>
      </c>
      <c r="N690" s="6">
        <v>5</v>
      </c>
      <c r="O690" s="5"/>
      <c r="P690" s="5"/>
      <c r="Q690" s="5"/>
      <c r="R690" s="5" t="s">
        <v>148</v>
      </c>
      <c r="S690" s="8"/>
    </row>
    <row r="691" spans="1:19" x14ac:dyDescent="0.3">
      <c r="A691" s="28" t="e">
        <f>IF(C691="","",MAX($A$2:A686)+1)</f>
        <v>#REF!</v>
      </c>
      <c r="B691" s="17" t="s">
        <v>36</v>
      </c>
      <c r="C691" s="11">
        <v>46107</v>
      </c>
      <c r="D691" s="13" t="str">
        <f>_xlfn.XLOOKUP([1]!Table134526_79101120212223242526[[#This Row],[Name Surname]],[1]Manpower!$C$4:$C$1048576,[1]Manpower!$B$4:$B$1048576,"")</f>
        <v>AL Omar International Tarde&amp;Contracting SPC</v>
      </c>
      <c r="E691" s="13" t="s">
        <v>57</v>
      </c>
      <c r="F691" s="12">
        <f>_xlfn.XLOOKUP([1]!Table134526_79101120212223242526[[#This Row],[Name Surname]],[1]Manpower!C:C,[1]Manpower!D:D,)</f>
        <v>115122635</v>
      </c>
      <c r="G691" s="13" t="str">
        <f>_xlfn.XLOOKUP([1]!Table134526_79101120212223242526[[#This Row],[Name Surname]],[1]Manpower!$C$4:$C$1048576,[1]Manpower!$F$4:$F$1048576,"")</f>
        <v>Scaffolder</v>
      </c>
      <c r="H691" s="13" t="str">
        <f>_xlfn.XLOOKUP([1]!Table134526_79101120212223242526[[#This Row],[Name Surname]],[1]Manpower!$C$4:$C$1048576,[1]Manpower!$H$4:$H$1048576,"")</f>
        <v>Sub Contactor</v>
      </c>
      <c r="I691" s="13" t="str">
        <f>_xlfn.XLOOKUP([1]!Table134526_79101120212223242526[[#This Row],[Name Surname]],[1]Manpower!$C$4:$C$1048576,[1]Manpower!$H$4:$H$1048576,"")</f>
        <v>Sub Contactor</v>
      </c>
      <c r="J691" s="13" t="s">
        <v>38</v>
      </c>
      <c r="K691" s="13" t="s">
        <v>7</v>
      </c>
      <c r="L691" s="13" t="s">
        <v>39</v>
      </c>
      <c r="M691" s="13" t="s">
        <v>18</v>
      </c>
      <c r="N691" s="14">
        <v>10</v>
      </c>
      <c r="O691" s="13"/>
      <c r="P691" s="13"/>
      <c r="Q691" s="13"/>
      <c r="R691" s="13" t="s">
        <v>148</v>
      </c>
      <c r="S691" s="15"/>
    </row>
    <row r="692" spans="1:19" x14ac:dyDescent="0.3">
      <c r="A692" s="29" t="e">
        <f>IF(C692="","",MAX($A$2:A691)+1)</f>
        <v>#REF!</v>
      </c>
      <c r="B692" s="17" t="s">
        <v>36</v>
      </c>
      <c r="C692" s="3">
        <v>46107</v>
      </c>
      <c r="D692" s="5" t="str">
        <f>_xlfn.XLOOKUP([1]!Table134526_79101120212223242526[[#This Row],[Name Surname]],[1]Manpower!$C$4:$C$1048576,[1]Manpower!$B$4:$B$1048576,"")</f>
        <v>Encogroup</v>
      </c>
      <c r="E692" s="3" t="s">
        <v>58</v>
      </c>
      <c r="F692" s="4">
        <f>_xlfn.XLOOKUP([1]!Table134526_79101120212223242526[[#This Row],[Name Surname]],[1]Manpower!C:C,[1]Manpower!D:D,)</f>
        <v>137114773</v>
      </c>
      <c r="G692" s="5" t="str">
        <f>_xlfn.XLOOKUP([1]!Table134526_79101120212223242526[[#This Row],[Name Surname]],[1]Manpower!$C$4:$C$1048576,[1]Manpower!$F$4:$F$1048576,"")</f>
        <v>Rigger</v>
      </c>
      <c r="H692" s="5" t="str">
        <f>_xlfn.XLOOKUP([1]!Table134526_79101120212223242526[[#This Row],[Name Surname]],[1]Manpower!$C$4:$C$1048576,[1]Manpower!$H$4:$H$1048576,"")</f>
        <v>Manpower</v>
      </c>
      <c r="I692" s="5" t="str">
        <f>_xlfn.XLOOKUP([1]!Table134526_79101120212223242526[[#This Row],[Name Surname]],[1]Manpower!$C$4:$C$1048576,[1]Manpower!$H$4:$H$1048576,"")</f>
        <v>Manpower</v>
      </c>
      <c r="J692" s="5" t="s">
        <v>38</v>
      </c>
      <c r="K692" s="5" t="s">
        <v>7</v>
      </c>
      <c r="L692" s="5" t="s">
        <v>39</v>
      </c>
      <c r="M692" s="5" t="s">
        <v>18</v>
      </c>
      <c r="N692" s="6">
        <v>10</v>
      </c>
      <c r="O692" s="5"/>
      <c r="P692" s="5"/>
      <c r="Q692" s="5"/>
      <c r="R692" s="5" t="s">
        <v>148</v>
      </c>
      <c r="S692" s="8"/>
    </row>
    <row r="693" spans="1:19" x14ac:dyDescent="0.3">
      <c r="A693" s="28" t="e">
        <f>IF(C693="","",MAX($A$2:A692)+1)</f>
        <v>#REF!</v>
      </c>
      <c r="B693" s="17" t="s">
        <v>36</v>
      </c>
      <c r="C693" s="11">
        <v>46107</v>
      </c>
      <c r="D693" s="13" t="str">
        <f>_xlfn.XLOOKUP([1]!Table134526_79101120212223242526[[#This Row],[Name Surname]],[1]Manpower!$C$4:$C$1048576,[1]Manpower!$B$4:$B$1048576,"")</f>
        <v>Encogroup</v>
      </c>
      <c r="E693" s="11" t="s">
        <v>59</v>
      </c>
      <c r="F693" s="12">
        <f>_xlfn.XLOOKUP([1]!Table134526_79101120212223242526[[#This Row],[Name Surname]],[1]Manpower!C:C,[1]Manpower!D:D,)</f>
        <v>122082863</v>
      </c>
      <c r="G693" s="13" t="str">
        <f>_xlfn.XLOOKUP([1]!Table134526_79101120212223242526[[#This Row],[Name Surname]],[1]Manpower!$C$4:$C$1048576,[1]Manpower!$F$4:$F$1048576,"")</f>
        <v>Grinder</v>
      </c>
      <c r="H693" s="13" t="str">
        <f>_xlfn.XLOOKUP([1]!Table134526_79101120212223242526[[#This Row],[Name Surname]],[1]Manpower!$C$4:$C$1048576,[1]Manpower!$H$4:$H$1048576,"")</f>
        <v>Manpower</v>
      </c>
      <c r="I693" s="13" t="str">
        <f>_xlfn.XLOOKUP([1]!Table134526_79101120212223242526[[#This Row],[Name Surname]],[1]Manpower!$C$4:$C$1048576,[1]Manpower!$H$4:$H$1048576,"")</f>
        <v>Manpower</v>
      </c>
      <c r="J693" s="13" t="s">
        <v>38</v>
      </c>
      <c r="K693" s="13" t="s">
        <v>7</v>
      </c>
      <c r="L693" s="13" t="s">
        <v>39</v>
      </c>
      <c r="M693" s="13" t="s">
        <v>18</v>
      </c>
      <c r="N693" s="14">
        <v>10</v>
      </c>
      <c r="O693" s="13"/>
      <c r="P693" s="13"/>
      <c r="Q693" s="13"/>
      <c r="R693" s="13" t="s">
        <v>148</v>
      </c>
      <c r="S693" s="15"/>
    </row>
    <row r="694" spans="1:19" x14ac:dyDescent="0.3">
      <c r="A694" s="29" t="e">
        <f>IF(C694="","",MAX($A$2:A693)+1)</f>
        <v>#REF!</v>
      </c>
      <c r="B694" s="2" t="s">
        <v>0</v>
      </c>
      <c r="C694" s="3">
        <v>46109</v>
      </c>
      <c r="D694" s="5" t="str">
        <f>_xlfn.XLOOKUP([1]!Table134526_79101120212223242526[[#This Row],[Name Surname]],[1]Manpower!$C$4:$C$1048576,[1]Manpower!$B$4:$B$1048576,"")</f>
        <v>Encogroup</v>
      </c>
      <c r="E694" s="5" t="s">
        <v>129</v>
      </c>
      <c r="F694" s="4">
        <f>_xlfn.XLOOKUP([1]!Table134526_79101120212223242526[[#This Row],[Name Surname]],[1]Manpower!C:C,[1]Manpower!D:D,)</f>
        <v>140696989</v>
      </c>
      <c r="G694" s="5" t="str">
        <f>_xlfn.XLOOKUP([1]!Table134526_79101120212223242526[[#This Row],[Name Surname]],[1]Manpower!$C$4:$C$1048576,[1]Manpower!$F$4:$F$1048576,"")</f>
        <v>Assistant/Helper</v>
      </c>
      <c r="H694" s="5" t="str">
        <f>_xlfn.XLOOKUP([1]!Table134526_79101120212223242526[[#This Row],[Name Surname]],[1]Manpower!$C$4:$C$1048576,[1]Manpower!$H$4:$H$1048576,"")</f>
        <v>Manpower</v>
      </c>
      <c r="I694" s="5" t="str">
        <f>_xlfn.XLOOKUP([1]!Table134526_79101120212223242526[[#This Row],[Name Surname]],[1]Manpower!$C$4:$C$1048576,[1]Manpower!$H$4:$H$1048576,"")</f>
        <v>Manpower</v>
      </c>
      <c r="J694" s="5" t="s">
        <v>2</v>
      </c>
      <c r="K694" s="5" t="s">
        <v>7</v>
      </c>
      <c r="L694" s="5" t="s">
        <v>10</v>
      </c>
      <c r="M694" s="5" t="s">
        <v>18</v>
      </c>
      <c r="N694" s="6">
        <v>10</v>
      </c>
      <c r="O694" s="5"/>
      <c r="P694" s="5"/>
      <c r="Q694" s="5"/>
      <c r="R694" s="5" t="s">
        <v>149</v>
      </c>
      <c r="S694" s="8"/>
    </row>
    <row r="695" spans="1:19" x14ac:dyDescent="0.3">
      <c r="A695" s="28" t="e">
        <f>IF(C695="","",MAX($A$2:A694)+1)</f>
        <v>#REF!</v>
      </c>
      <c r="B695" s="2" t="s">
        <v>0</v>
      </c>
      <c r="C695" s="11">
        <v>46109</v>
      </c>
      <c r="D695" s="13" t="str">
        <f>_xlfn.XLOOKUP([1]!Table134526_79101120212223242526[[#This Row],[Name Surname]],[1]Manpower!$C$4:$C$1048576,[1]Manpower!$B$4:$B$1048576,"")</f>
        <v>Encogroup</v>
      </c>
      <c r="E695" s="13" t="s">
        <v>1</v>
      </c>
      <c r="F695" s="12">
        <f>_xlfn.XLOOKUP([1]!Table134526_79101120212223242526[[#This Row],[Name Surname]],[1]Manpower!C:C,[1]Manpower!D:D,)</f>
        <v>141365094</v>
      </c>
      <c r="G695" s="13" t="str">
        <f>_xlfn.XLOOKUP([1]!Table134526_79101120212223242526[[#This Row],[Name Surname]],[1]Manpower!$C$4:$C$1048576,[1]Manpower!$F$4:$F$1048576,"")</f>
        <v>Helper</v>
      </c>
      <c r="H695" s="13" t="str">
        <f>_xlfn.XLOOKUP([1]!Table134526_79101120212223242526[[#This Row],[Name Surname]],[1]Manpower!$C$4:$C$1048576,[1]Manpower!$H$4:$H$1048576,"")</f>
        <v>Manpower</v>
      </c>
      <c r="I695" s="13" t="str">
        <f>_xlfn.XLOOKUP([1]!Table134526_79101120212223242526[[#This Row],[Name Surname]],[1]Manpower!$C$4:$C$1048576,[1]Manpower!$H$4:$H$1048576,"")</f>
        <v>Manpower</v>
      </c>
      <c r="J695" s="13" t="s">
        <v>2</v>
      </c>
      <c r="K695" s="13" t="s">
        <v>7</v>
      </c>
      <c r="L695" s="13" t="s">
        <v>10</v>
      </c>
      <c r="M695" s="13" t="s">
        <v>18</v>
      </c>
      <c r="N695" s="14">
        <v>10</v>
      </c>
      <c r="O695" s="13"/>
      <c r="P695" s="13"/>
      <c r="Q695" s="13"/>
      <c r="R695" s="13" t="s">
        <v>149</v>
      </c>
      <c r="S695" s="15"/>
    </row>
    <row r="696" spans="1:19" x14ac:dyDescent="0.3">
      <c r="A696" s="29" t="e">
        <f>IF(C696="","",MAX($A$2:A695)+1)</f>
        <v>#REF!</v>
      </c>
      <c r="B696" s="2" t="s">
        <v>0</v>
      </c>
      <c r="C696" s="3">
        <v>46109</v>
      </c>
      <c r="D696" s="5" t="str">
        <f>_xlfn.XLOOKUP([1]!Table134526_79101120212223242526[[#This Row],[Name Surname]],[1]Manpower!$C$4:$C$1048576,[1]Manpower!$B$4:$B$1048576,"")</f>
        <v xml:space="preserve">FAL Transport </v>
      </c>
      <c r="E696" s="5" t="s">
        <v>46</v>
      </c>
      <c r="F696" s="4">
        <f>_xlfn.XLOOKUP([1]!Table134526_79101120212223242526[[#This Row],[Name Surname]],[1]Manpower!C:C,[1]Manpower!D:D,)</f>
        <v>124233837</v>
      </c>
      <c r="G696" s="5" t="str">
        <f>_xlfn.XLOOKUP([1]!Table134526_79101120212223242526[[#This Row],[Name Surname]],[1]Manpower!$C$4:$C$1048576,[1]Manpower!$F$4:$F$1048576,"")</f>
        <v>Trailer Driver</v>
      </c>
      <c r="H696" s="5" t="str">
        <f>_xlfn.XLOOKUP([1]!Table134526_79101120212223242526[[#This Row],[Name Surname]],[1]Manpower!$C$4:$C$1048576,[1]Manpower!$H$4:$H$1048576,"")</f>
        <v>Sub Contactor</v>
      </c>
      <c r="I696" s="5" t="str">
        <f>_xlfn.XLOOKUP([1]!Table134526_79101120212223242526[[#This Row],[Name Surname]],[1]Manpower!$C$4:$C$1048576,[1]Manpower!$H$4:$H$1048576,"")</f>
        <v>Sub Contactor</v>
      </c>
      <c r="J696" s="5" t="s">
        <v>2</v>
      </c>
      <c r="K696" s="5" t="s">
        <v>7</v>
      </c>
      <c r="L696" s="5" t="s">
        <v>10</v>
      </c>
      <c r="M696" s="5" t="s">
        <v>18</v>
      </c>
      <c r="N696" s="6">
        <v>10</v>
      </c>
      <c r="O696" s="5"/>
      <c r="P696" s="5"/>
      <c r="Q696" s="5"/>
      <c r="R696" s="5" t="s">
        <v>149</v>
      </c>
      <c r="S696" s="8"/>
    </row>
    <row r="697" spans="1:19" x14ac:dyDescent="0.3">
      <c r="A697" s="28" t="e">
        <f>IF(C697="","",MAX($A$2:A696)+1)</f>
        <v>#REF!</v>
      </c>
      <c r="B697" s="10" t="s">
        <v>0</v>
      </c>
      <c r="C697" s="11">
        <v>46109</v>
      </c>
      <c r="D697" s="13" t="str">
        <f>_xlfn.XLOOKUP([1]!Table134526_79101120212223242526[[#This Row],[Name Surname]],[1]Manpower!$C$4:$C$1048576,[1]Manpower!$B$4:$B$1048576,"")</f>
        <v>Riyan Al Khaleej</v>
      </c>
      <c r="E697" s="11" t="s">
        <v>61</v>
      </c>
      <c r="F697" s="12" t="e">
        <f>_xlfn.XLOOKUP([1]!Table134526_79101120212223242526[[#This Row],[Name Surname]],[1]Manpower!C:C,[1]Manpower!D:D,)</f>
        <v>#N/A</v>
      </c>
      <c r="G697" s="13" t="str">
        <f>_xlfn.XLOOKUP([1]!Table134526_79101120212223242526[[#This Row],[Name Surname]],[1]Manpower!$C$4:$C$1048576,[1]Manpower!$F$4:$F$1048576,"")</f>
        <v>100T Telescopic Crane</v>
      </c>
      <c r="H697" s="13" t="str">
        <f>_xlfn.XLOOKUP([1]!Table134526_79101120212223242526[[#This Row],[Name Surname]],[1]Manpower!$C$4:$C$1048576,[1]Manpower!$H$4:$H$1048576,"")</f>
        <v>Equipment</v>
      </c>
      <c r="I697" s="13" t="str">
        <f>_xlfn.XLOOKUP([1]!Table134526_79101120212223242526[[#This Row],[Name Surname]],[1]Manpower!$C$4:$C$1048576,[1]Manpower!$H$4:$H$1048576,"")</f>
        <v>Equipment</v>
      </c>
      <c r="J697" s="13" t="s">
        <v>9</v>
      </c>
      <c r="K697" s="13" t="s">
        <v>7</v>
      </c>
      <c r="L697" s="13" t="s">
        <v>10</v>
      </c>
      <c r="M697" s="13" t="s">
        <v>18</v>
      </c>
      <c r="N697" s="14">
        <v>10</v>
      </c>
      <c r="O697" s="13"/>
      <c r="P697" s="13"/>
      <c r="Q697" s="13"/>
      <c r="R697" s="13" t="s">
        <v>149</v>
      </c>
      <c r="S697" s="15"/>
    </row>
    <row r="698" spans="1:19" x14ac:dyDescent="0.3">
      <c r="A698" s="29" t="e">
        <f>IF(C698="","",MAX($A$2:A697)+1)</f>
        <v>#REF!</v>
      </c>
      <c r="B698" s="10" t="s">
        <v>0</v>
      </c>
      <c r="C698" s="3">
        <v>46109</v>
      </c>
      <c r="D698" s="5" t="str">
        <f>_xlfn.XLOOKUP([1]!Table134526_79101120212223242526[[#This Row],[Name Surname]],[1]Manpower!$C$4:$C$1048576,[1]Manpower!$B$4:$B$1048576,"")</f>
        <v>Encogroup</v>
      </c>
      <c r="E698" s="5" t="s">
        <v>8</v>
      </c>
      <c r="F698" s="4">
        <f>_xlfn.XLOOKUP([1]!Table134526_79101120212223242526[[#This Row],[Name Surname]],[1]Manpower!C:C,[1]Manpower!D:D,)</f>
        <v>127414586</v>
      </c>
      <c r="G698" s="5" t="str">
        <f>_xlfn.XLOOKUP([1]!Table134526_79101120212223242526[[#This Row],[Name Surname]],[1]Manpower!$C$4:$C$1048576,[1]Manpower!$F$4:$F$1048576,"")</f>
        <v>Electrician</v>
      </c>
      <c r="H698" s="5" t="str">
        <f>_xlfn.XLOOKUP([1]!Table134526_79101120212223242526[[#This Row],[Name Surname]],[1]Manpower!$C$4:$C$1048576,[1]Manpower!$H$4:$H$1048576,"")</f>
        <v>Manpower</v>
      </c>
      <c r="I698" s="5" t="str">
        <f>_xlfn.XLOOKUP([1]!Table134526_79101120212223242526[[#This Row],[Name Surname]],[1]Manpower!$C$4:$C$1048576,[1]Manpower!$H$4:$H$1048576,"")</f>
        <v>Manpower</v>
      </c>
      <c r="J698" s="5" t="s">
        <v>9</v>
      </c>
      <c r="K698" s="5" t="s">
        <v>7</v>
      </c>
      <c r="L698" s="5" t="s">
        <v>10</v>
      </c>
      <c r="M698" s="5" t="s">
        <v>18</v>
      </c>
      <c r="N698" s="6">
        <v>10</v>
      </c>
      <c r="O698" s="5"/>
      <c r="P698" s="5"/>
      <c r="Q698" s="5"/>
      <c r="R698" s="5" t="s">
        <v>149</v>
      </c>
      <c r="S698" s="8"/>
    </row>
    <row r="699" spans="1:19" x14ac:dyDescent="0.3">
      <c r="A699" s="28" t="e">
        <f>IF(C699="","",MAX($A$2:A698)+1)</f>
        <v>#REF!</v>
      </c>
      <c r="B699" s="10" t="s">
        <v>0</v>
      </c>
      <c r="C699" s="11">
        <v>46109</v>
      </c>
      <c r="D699" s="13" t="str">
        <f>_xlfn.XLOOKUP([1]!Table134526_79101120212223242526[[#This Row],[Name Surname]],[1]Manpower!$C$4:$C$1048576,[1]Manpower!$B$4:$B$1048576,"")</f>
        <v>Encogroup</v>
      </c>
      <c r="E699" s="13" t="s">
        <v>17</v>
      </c>
      <c r="F699" s="12">
        <f>_xlfn.XLOOKUP([1]!Table134526_79101120212223242526[[#This Row],[Name Surname]],[1]Manpower!C:C,[1]Manpower!D:D,)</f>
        <v>127331574</v>
      </c>
      <c r="G699" s="13" t="str">
        <f>_xlfn.XLOOKUP([1]!Table134526_79101120212223242526[[#This Row],[Name Surname]],[1]Manpower!$C$4:$C$1048576,[1]Manpower!$F$4:$F$1048576,"")</f>
        <v>Permit Receiver</v>
      </c>
      <c r="H699" s="13" t="str">
        <f>_xlfn.XLOOKUP([1]!Table134526_79101120212223242526[[#This Row],[Name Surname]],[1]Manpower!$C$4:$C$1048576,[1]Manpower!$H$4:$H$1048576,"")</f>
        <v>Manpower</v>
      </c>
      <c r="I699" s="13" t="str">
        <f>_xlfn.XLOOKUP([1]!Table134526_79101120212223242526[[#This Row],[Name Surname]],[1]Manpower!$C$4:$C$1048576,[1]Manpower!$H$4:$H$1048576,"")</f>
        <v>Manpower</v>
      </c>
      <c r="J699" s="13" t="s">
        <v>9</v>
      </c>
      <c r="K699" s="13" t="s">
        <v>7</v>
      </c>
      <c r="L699" s="13" t="s">
        <v>10</v>
      </c>
      <c r="M699" s="13" t="s">
        <v>18</v>
      </c>
      <c r="N699" s="14">
        <v>10</v>
      </c>
      <c r="O699" s="13"/>
      <c r="P699" s="13"/>
      <c r="Q699" s="13"/>
      <c r="R699" s="13" t="s">
        <v>149</v>
      </c>
      <c r="S699" s="15"/>
    </row>
    <row r="700" spans="1:19" x14ac:dyDescent="0.3">
      <c r="A700" s="29" t="e">
        <f>IF(C700="","",MAX($A$2:A699)+1)</f>
        <v>#REF!</v>
      </c>
      <c r="B700" s="10" t="s">
        <v>0</v>
      </c>
      <c r="C700" s="3">
        <v>46109</v>
      </c>
      <c r="D700" s="5" t="str">
        <f>_xlfn.XLOOKUP([1]!Table134526_79101120212223242526[[#This Row],[Name Surname]],[1]Manpower!$C$4:$C$1048576,[1]Manpower!$B$4:$B$1048576,"")</f>
        <v>Encogroup</v>
      </c>
      <c r="E700" s="5" t="s">
        <v>15</v>
      </c>
      <c r="F700" s="4">
        <f>_xlfn.XLOOKUP([1]!Table134526_79101120212223242526[[#This Row],[Name Surname]],[1]Manpower!C:C,[1]Manpower!D:D,)</f>
        <v>116589569</v>
      </c>
      <c r="G700" s="5" t="str">
        <f>_xlfn.XLOOKUP([1]!Table134526_79101120212223242526[[#This Row],[Name Surname]],[1]Manpower!$C$4:$C$1048576,[1]Manpower!$F$4:$F$1048576,"")</f>
        <v>Mechanical Engineer</v>
      </c>
      <c r="H700" s="5" t="str">
        <f>_xlfn.XLOOKUP([1]!Table134526_79101120212223242526[[#This Row],[Name Surname]],[1]Manpower!$C$4:$C$1048576,[1]Manpower!$H$4:$H$1048576,"")</f>
        <v>Manpower</v>
      </c>
      <c r="I700" s="5" t="str">
        <f>_xlfn.XLOOKUP([1]!Table134526_79101120212223242526[[#This Row],[Name Surname]],[1]Manpower!$C$4:$C$1048576,[1]Manpower!$H$4:$H$1048576,"")</f>
        <v>Manpower</v>
      </c>
      <c r="J700" s="5" t="s">
        <v>9</v>
      </c>
      <c r="K700" s="5" t="s">
        <v>7</v>
      </c>
      <c r="L700" s="5" t="s">
        <v>10</v>
      </c>
      <c r="M700" s="5" t="s">
        <v>18</v>
      </c>
      <c r="N700" s="6">
        <v>10</v>
      </c>
      <c r="O700" s="5"/>
      <c r="P700" s="5"/>
      <c r="Q700" s="5"/>
      <c r="R700" s="5" t="s">
        <v>149</v>
      </c>
      <c r="S700" s="8"/>
    </row>
    <row r="701" spans="1:19" x14ac:dyDescent="0.3">
      <c r="A701" s="28" t="e">
        <f>IF(C701="","",MAX($A$2:A700)+1)</f>
        <v>#REF!</v>
      </c>
      <c r="B701" s="10" t="s">
        <v>0</v>
      </c>
      <c r="C701" s="11">
        <v>46109</v>
      </c>
      <c r="D701" s="11" t="str">
        <f>_xlfn.XLOOKUP([1]!Table134526_79101120212223242526[[#This Row],[Name Surname]],[1]Manpower!$C$4:$C$1048576,[1]Manpower!$B$4:$B$1048576,"")</f>
        <v>Encogroup</v>
      </c>
      <c r="E701" s="11" t="s">
        <v>20</v>
      </c>
      <c r="F701" s="12">
        <f>_xlfn.XLOOKUP([1]!Table134526_79101120212223242526[[#This Row],[Name Surname]],[1]Manpower!C:C,[1]Manpower!D:D,)</f>
        <v>99596058</v>
      </c>
      <c r="G701" s="11" t="str">
        <f>_xlfn.XLOOKUP([1]!Table134526_79101120212223242526[[#This Row],[Name Surname]],[1]Manpower!$C$4:$C$1048576,[1]Manpower!$F$4:$F$1048576,"")</f>
        <v>HSE Officer</v>
      </c>
      <c r="H701" s="11" t="str">
        <f>_xlfn.XLOOKUP([1]!Table134526_79101120212223242526[[#This Row],[Name Surname]],[1]Manpower!$C$4:$C$1048576,[1]Manpower!$H$4:$H$1048576,"")</f>
        <v>Manpower</v>
      </c>
      <c r="I701" s="11" t="str">
        <f>_xlfn.XLOOKUP([1]!Table134526_79101120212223242526[[#This Row],[Name Surname]],[1]Manpower!$C$4:$C$1048576,[1]Manpower!$H$4:$H$1048576,"")</f>
        <v>Manpower</v>
      </c>
      <c r="J701" s="13" t="s">
        <v>9</v>
      </c>
      <c r="K701" s="13" t="s">
        <v>7</v>
      </c>
      <c r="L701" s="13" t="s">
        <v>10</v>
      </c>
      <c r="M701" s="13" t="s">
        <v>18</v>
      </c>
      <c r="N701" s="14">
        <v>10</v>
      </c>
      <c r="O701" s="13"/>
      <c r="P701" s="13"/>
      <c r="Q701" s="13"/>
      <c r="R701" s="13" t="s">
        <v>149</v>
      </c>
      <c r="S701" s="15"/>
    </row>
    <row r="702" spans="1:19" x14ac:dyDescent="0.3">
      <c r="A702" s="29" t="e">
        <f>IF(C702="","",MAX($A$2:A701)+1)</f>
        <v>#REF!</v>
      </c>
      <c r="B702" s="30" t="s">
        <v>36</v>
      </c>
      <c r="C702" s="3">
        <v>46109</v>
      </c>
      <c r="D702" s="5" t="str">
        <f>_xlfn.XLOOKUP([1]!Table134526_79101120212223242526[[#This Row],[Name Surname]],[1]Manpower!$C$4:$C$1048576,[1]Manpower!$B$4:$B$1048576,"")</f>
        <v>Encogroup</v>
      </c>
      <c r="E702" s="5" t="s">
        <v>22</v>
      </c>
      <c r="F702" s="4">
        <f>_xlfn.XLOOKUP([1]!Table134526_79101120212223242526[[#This Row],[Name Surname]],[1]Manpower!C:C,[1]Manpower!D:D,)</f>
        <v>140697039</v>
      </c>
      <c r="G702" s="5" t="str">
        <f>_xlfn.XLOOKUP([1]!Table134526_79101120212223242526[[#This Row],[Name Surname]],[1]Manpower!$C$4:$C$1048576,[1]Manpower!$F$4:$F$1048576,"")</f>
        <v>Fitter/Erector</v>
      </c>
      <c r="H702" s="5" t="str">
        <f>_xlfn.XLOOKUP([1]!Table134526_79101120212223242526[[#This Row],[Name Surname]],[1]Manpower!$C$4:$C$1048576,[1]Manpower!$H$4:$H$1048576,"")</f>
        <v>Manpower</v>
      </c>
      <c r="I702" s="5" t="str">
        <f>_xlfn.XLOOKUP([1]!Table134526_79101120212223242526[[#This Row],[Name Surname]],[1]Manpower!$C$4:$C$1048576,[1]Manpower!$H$4:$H$1048576,"")</f>
        <v>Manpower</v>
      </c>
      <c r="J702" s="5" t="s">
        <v>23</v>
      </c>
      <c r="K702" s="5" t="s">
        <v>7</v>
      </c>
      <c r="L702" s="5" t="s">
        <v>25</v>
      </c>
      <c r="M702" s="5" t="s">
        <v>18</v>
      </c>
      <c r="N702" s="6">
        <v>10</v>
      </c>
      <c r="O702" s="5"/>
      <c r="P702" s="5"/>
      <c r="Q702" s="5"/>
      <c r="R702" s="5" t="s">
        <v>149</v>
      </c>
      <c r="S702" s="8"/>
    </row>
    <row r="703" spans="1:19" x14ac:dyDescent="0.3">
      <c r="A703" s="28" t="e">
        <f>IF(C703="","",MAX($A$2:A702)+1)</f>
        <v>#REF!</v>
      </c>
      <c r="B703" s="30" t="s">
        <v>36</v>
      </c>
      <c r="C703" s="11">
        <v>46109</v>
      </c>
      <c r="D703" s="13" t="str">
        <f>_xlfn.XLOOKUP([1]!Table134526_79101120212223242526[[#This Row],[Name Surname]],[1]Manpower!$C$4:$C$1048576,[1]Manpower!$B$4:$B$1048576,"")</f>
        <v>Encogroup</v>
      </c>
      <c r="E703" s="13" t="s">
        <v>28</v>
      </c>
      <c r="F703" s="12">
        <f>_xlfn.XLOOKUP([1]!Table134526_79101120212223242526[[#This Row],[Name Surname]],[1]Manpower!C:C,[1]Manpower!D:D,)</f>
        <v>124565057</v>
      </c>
      <c r="G703" s="13" t="str">
        <f>_xlfn.XLOOKUP([1]!Table134526_79101120212223242526[[#This Row],[Name Surname]],[1]Manpower!$C$4:$C$1048576,[1]Manpower!$F$4:$F$1048576,"")</f>
        <v>Fitter/Erector</v>
      </c>
      <c r="H703" s="13" t="str">
        <f>_xlfn.XLOOKUP([1]!Table134526_79101120212223242526[[#This Row],[Name Surname]],[1]Manpower!$C$4:$C$1048576,[1]Manpower!$H$4:$H$1048576,"")</f>
        <v>Manpower</v>
      </c>
      <c r="I703" s="13" t="str">
        <f>_xlfn.XLOOKUP([1]!Table134526_79101120212223242526[[#This Row],[Name Surname]],[1]Manpower!$C$4:$C$1048576,[1]Manpower!$H$4:$H$1048576,"")</f>
        <v>Manpower</v>
      </c>
      <c r="J703" s="13" t="s">
        <v>23</v>
      </c>
      <c r="K703" s="13" t="s">
        <v>7</v>
      </c>
      <c r="L703" s="13" t="s">
        <v>25</v>
      </c>
      <c r="M703" s="13" t="s">
        <v>18</v>
      </c>
      <c r="N703" s="14">
        <v>10</v>
      </c>
      <c r="O703" s="13"/>
      <c r="P703" s="13"/>
      <c r="Q703" s="13"/>
      <c r="R703" s="13" t="s">
        <v>149</v>
      </c>
      <c r="S703" s="15"/>
    </row>
    <row r="704" spans="1:19" x14ac:dyDescent="0.3">
      <c r="A704" s="29" t="e">
        <f>IF(C704="","",MAX($A$2:A703)+1)</f>
        <v>#REF!</v>
      </c>
      <c r="B704" s="30" t="s">
        <v>36</v>
      </c>
      <c r="C704" s="3">
        <v>46109</v>
      </c>
      <c r="D704" s="5" t="str">
        <f>_xlfn.XLOOKUP([1]!Table134526_79101120212223242526[[#This Row],[Name Surname]],[1]Manpower!$C$4:$C$1048576,[1]Manpower!$B$4:$B$1048576,"")</f>
        <v>Encogroup</v>
      </c>
      <c r="E704" s="5" t="s">
        <v>111</v>
      </c>
      <c r="F704" s="4">
        <f>_xlfn.XLOOKUP([1]!Table134526_79101120212223242526[[#This Row],[Name Surname]],[1]Manpower!C:C,[1]Manpower!D:D,)</f>
        <v>141365023</v>
      </c>
      <c r="G704" s="5" t="str">
        <f>_xlfn.XLOOKUP([1]!Table134526_79101120212223242526[[#This Row],[Name Surname]],[1]Manpower!$C$4:$C$1048576,[1]Manpower!$F$4:$F$1048576,"")</f>
        <v>Grinder</v>
      </c>
      <c r="H704" s="5" t="str">
        <f>_xlfn.XLOOKUP([1]!Table134526_79101120212223242526[[#This Row],[Name Surname]],[1]Manpower!$C$4:$C$1048576,[1]Manpower!$H$4:$H$1048576,"")</f>
        <v>Manpower</v>
      </c>
      <c r="I704" s="5" t="str">
        <f>_xlfn.XLOOKUP([1]!Table134526_79101120212223242526[[#This Row],[Name Surname]],[1]Manpower!$C$4:$C$1048576,[1]Manpower!$H$4:$H$1048576,"")</f>
        <v>Manpower</v>
      </c>
      <c r="J704" s="5" t="s">
        <v>23</v>
      </c>
      <c r="K704" s="5" t="s">
        <v>7</v>
      </c>
      <c r="L704" s="5" t="s">
        <v>25</v>
      </c>
      <c r="M704" s="5" t="s">
        <v>18</v>
      </c>
      <c r="N704" s="6">
        <v>10</v>
      </c>
      <c r="O704" s="5"/>
      <c r="P704" s="5"/>
      <c r="Q704" s="5"/>
      <c r="R704" s="5" t="s">
        <v>149</v>
      </c>
      <c r="S704" s="8"/>
    </row>
    <row r="705" spans="1:19" x14ac:dyDescent="0.3">
      <c r="A705" s="28" t="e">
        <f>IF(C705="","",MAX($A$2:A704)+1)</f>
        <v>#REF!</v>
      </c>
      <c r="B705" s="30" t="s">
        <v>36</v>
      </c>
      <c r="C705" s="11">
        <v>46109</v>
      </c>
      <c r="D705" s="13" t="str">
        <f>_xlfn.XLOOKUP([1]!Table134526_79101120212223242526[[#This Row],[Name Surname]],[1]Manpower!$C$4:$C$1048576,[1]Manpower!$B$4:$B$1048576,"")</f>
        <v>AL Omar International TRAD AND CONT</v>
      </c>
      <c r="E705" s="13" t="s">
        <v>31</v>
      </c>
      <c r="F705" s="12">
        <f>_xlfn.XLOOKUP([1]!Table134526_79101120212223242526[[#This Row],[Name Surname]],[1]Manpower!C:C,[1]Manpower!D:D,)</f>
        <v>114929202</v>
      </c>
      <c r="G705" s="13" t="str">
        <f>_xlfn.XLOOKUP([1]!Table134526_79101120212223242526[[#This Row],[Name Surname]],[1]Manpower!$C$4:$C$1048576,[1]Manpower!$F$4:$F$1048576,"")</f>
        <v>RIgger</v>
      </c>
      <c r="H705" s="13" t="str">
        <f>_xlfn.XLOOKUP([1]!Table134526_79101120212223242526[[#This Row],[Name Surname]],[1]Manpower!$C$4:$C$1048576,[1]Manpower!$H$4:$H$1048576,"")</f>
        <v>Sub Contactor</v>
      </c>
      <c r="I705" s="13" t="str">
        <f>_xlfn.XLOOKUP([1]!Table134526_79101120212223242526[[#This Row],[Name Surname]],[1]Manpower!$C$4:$C$1048576,[1]Manpower!$H$4:$H$1048576,"")</f>
        <v>Sub Contactor</v>
      </c>
      <c r="J705" s="13" t="s">
        <v>23</v>
      </c>
      <c r="K705" s="13" t="s">
        <v>7</v>
      </c>
      <c r="L705" s="13" t="s">
        <v>25</v>
      </c>
      <c r="M705" s="13" t="s">
        <v>18</v>
      </c>
      <c r="N705" s="14">
        <v>10</v>
      </c>
      <c r="O705" s="13"/>
      <c r="P705" s="13"/>
      <c r="Q705" s="13"/>
      <c r="R705" s="13" t="s">
        <v>149</v>
      </c>
      <c r="S705" s="15"/>
    </row>
    <row r="706" spans="1:19" x14ac:dyDescent="0.3">
      <c r="A706" s="29" t="e">
        <f>IF(C706="","",MAX($A$2:A705)+1)</f>
        <v>#REF!</v>
      </c>
      <c r="B706" s="30" t="s">
        <v>36</v>
      </c>
      <c r="C706" s="3">
        <v>46109</v>
      </c>
      <c r="D706" s="5" t="str">
        <f>_xlfn.XLOOKUP([1]!Table134526_79101120212223242526[[#This Row],[Name Surname]],[1]Manpower!$C$4:$C$1048576,[1]Manpower!$B$4:$B$1048576,"")</f>
        <v>Encogroup</v>
      </c>
      <c r="E706" s="5" t="s">
        <v>41</v>
      </c>
      <c r="F706" s="4">
        <f>_xlfn.XLOOKUP([1]!Table134526_79101120212223242526[[#This Row],[Name Surname]],[1]Manpower!C:C,[1]Manpower!D:D,)</f>
        <v>140742088</v>
      </c>
      <c r="G706" s="5" t="str">
        <f>_xlfn.XLOOKUP([1]!Table134526_79101120212223242526[[#This Row],[Name Surname]],[1]Manpower!$C$4:$C$1048576,[1]Manpower!$F$4:$F$1048576,"")</f>
        <v>Fitter/Erector</v>
      </c>
      <c r="H706" s="5" t="str">
        <f>_xlfn.XLOOKUP([1]!Table134526_79101120212223242526[[#This Row],[Name Surname]],[1]Manpower!$C$4:$C$1048576,[1]Manpower!$H$4:$H$1048576,"")</f>
        <v>Manpower</v>
      </c>
      <c r="I706" s="5" t="str">
        <f>_xlfn.XLOOKUP([1]!Table134526_79101120212223242526[[#This Row],[Name Surname]],[1]Manpower!$C$4:$C$1048576,[1]Manpower!$H$4:$H$1048576,"")</f>
        <v>Manpower</v>
      </c>
      <c r="J706" s="5" t="s">
        <v>23</v>
      </c>
      <c r="K706" s="5" t="s">
        <v>7</v>
      </c>
      <c r="L706" s="5" t="s">
        <v>25</v>
      </c>
      <c r="M706" s="5" t="s">
        <v>18</v>
      </c>
      <c r="N706" s="6">
        <v>10</v>
      </c>
      <c r="O706" s="5"/>
      <c r="P706" s="5"/>
      <c r="Q706" s="5"/>
      <c r="R706" s="5" t="s">
        <v>149</v>
      </c>
      <c r="S706" s="8"/>
    </row>
    <row r="707" spans="1:19" x14ac:dyDescent="0.3">
      <c r="A707" s="28" t="e">
        <f>IF(C707="","",MAX($A$2:A706)+1)</f>
        <v>#REF!</v>
      </c>
      <c r="B707" s="30" t="s">
        <v>36</v>
      </c>
      <c r="C707" s="11">
        <v>46109</v>
      </c>
      <c r="D707" s="13" t="str">
        <f>_xlfn.XLOOKUP([1]!Table134526_79101120212223242526[[#This Row],[Name Surname]],[1]Manpower!$C$4:$C$1048576,[1]Manpower!$B$4:$B$1048576,"")</f>
        <v>Rial Al Khaleej</v>
      </c>
      <c r="E707" s="13" t="s">
        <v>32</v>
      </c>
      <c r="F707" s="12">
        <f>_xlfn.XLOOKUP([1]!Table134526_79101120212223242526[[#This Row],[Name Surname]],[1]Manpower!C:C,[1]Manpower!D:D,)</f>
        <v>98845403</v>
      </c>
      <c r="G707" s="13" t="str">
        <f>_xlfn.XLOOKUP([1]!Table134526_79101120212223242526[[#This Row],[Name Surname]],[1]Manpower!$C$4:$C$1048576,[1]Manpower!$F$4:$F$1048576,"")</f>
        <v>Crane Operator-100T Zoomlion Telescopic</v>
      </c>
      <c r="H707" s="13" t="str">
        <f>_xlfn.XLOOKUP([1]!Table134526_79101120212223242526[[#This Row],[Name Surname]],[1]Manpower!$C$4:$C$1048576,[1]Manpower!$H$4:$H$1048576,"")</f>
        <v>Manpower</v>
      </c>
      <c r="I707" s="13" t="str">
        <f>_xlfn.XLOOKUP([1]!Table134526_79101120212223242526[[#This Row],[Name Surname]],[1]Manpower!$C$4:$C$1048576,[1]Manpower!$H$4:$H$1048576,"")</f>
        <v>Manpower</v>
      </c>
      <c r="J707" s="13" t="s">
        <v>23</v>
      </c>
      <c r="K707" s="13" t="s">
        <v>7</v>
      </c>
      <c r="L707" s="13" t="s">
        <v>25</v>
      </c>
      <c r="M707" s="13" t="s">
        <v>18</v>
      </c>
      <c r="N707" s="14">
        <v>10</v>
      </c>
      <c r="O707" s="13"/>
      <c r="P707" s="13"/>
      <c r="Q707" s="13"/>
      <c r="R707" s="13" t="s">
        <v>149</v>
      </c>
      <c r="S707" s="15"/>
    </row>
    <row r="708" spans="1:19" x14ac:dyDescent="0.3">
      <c r="A708" s="29" t="e">
        <f>IF(C708="","",MAX($A$2:A706)+1)</f>
        <v>#REF!</v>
      </c>
      <c r="B708" s="30" t="s">
        <v>36</v>
      </c>
      <c r="C708" s="3">
        <v>46109</v>
      </c>
      <c r="D708" s="5" t="str">
        <f>_xlfn.XLOOKUP([1]!Table134526_79101120212223242526[[#This Row],[Name Surname]],[1]Manpower!$C$4:$C$1048576,[1]Manpower!$B$4:$B$1048576,"")</f>
        <v>Encogroup</v>
      </c>
      <c r="E708" s="5" t="s">
        <v>34</v>
      </c>
      <c r="F708" s="4">
        <f>_xlfn.XLOOKUP([1]!Table134526_79101120212223242526[[#This Row],[Name Surname]],[1]Manpower!C:C,[1]Manpower!D:D,)</f>
        <v>140806218</v>
      </c>
      <c r="G708" s="5" t="str">
        <f>_xlfn.XLOOKUP([1]!Table134526_79101120212223242526[[#This Row],[Name Surname]],[1]Manpower!$C$4:$C$1048576,[1]Manpower!$F$4:$F$1048576,"")</f>
        <v>Fitter/Erector</v>
      </c>
      <c r="H708" s="5" t="str">
        <f>_xlfn.XLOOKUP([1]!Table134526_79101120212223242526[[#This Row],[Name Surname]],[1]Manpower!$C$4:$C$1048576,[1]Manpower!$H$4:$H$1048576,"")</f>
        <v>Manpower</v>
      </c>
      <c r="I708" s="5" t="str">
        <f>_xlfn.XLOOKUP([1]!Table134526_79101120212223242526[[#This Row],[Name Surname]],[1]Manpower!$C$4:$C$1048576,[1]Manpower!$H$4:$H$1048576,"")</f>
        <v>Manpower</v>
      </c>
      <c r="J708" s="5" t="s">
        <v>23</v>
      </c>
      <c r="K708" s="5" t="s">
        <v>7</v>
      </c>
      <c r="L708" s="5" t="s">
        <v>25</v>
      </c>
      <c r="M708" s="5" t="s">
        <v>18</v>
      </c>
      <c r="N708" s="6">
        <v>10</v>
      </c>
      <c r="O708" s="5"/>
      <c r="P708" s="5"/>
      <c r="Q708" s="5"/>
      <c r="R708" s="5" t="s">
        <v>149</v>
      </c>
      <c r="S708" s="8"/>
    </row>
    <row r="709" spans="1:19" x14ac:dyDescent="0.3">
      <c r="A709" s="28" t="e">
        <f>IF(C709="","",MAX($A$2:A708)+1)</f>
        <v>#REF!</v>
      </c>
      <c r="B709" s="30" t="s">
        <v>36</v>
      </c>
      <c r="C709" s="11">
        <v>46109</v>
      </c>
      <c r="D709" s="13" t="str">
        <f>_xlfn.XLOOKUP([1]!Table134526_79101120212223242526[[#This Row],[Name Surname]],[1]Manpower!$C$4:$C$1048576,[1]Manpower!$B$4:$B$1048576,"")</f>
        <v>Encogroup</v>
      </c>
      <c r="E709" s="13" t="s">
        <v>120</v>
      </c>
      <c r="F709" s="12">
        <f>_xlfn.XLOOKUP([1]!Table134526_79101120212223242526[[#This Row],[Name Surname]],[1]Manpower!C:C,[1]Manpower!D:D,)</f>
        <v>140844618</v>
      </c>
      <c r="G709" s="13" t="str">
        <f>_xlfn.XLOOKUP([1]!Table134526_79101120212223242526[[#This Row],[Name Surname]],[1]Manpower!$C$4:$C$1048576,[1]Manpower!$F$4:$F$1048576,"")</f>
        <v>Assistant/Helper</v>
      </c>
      <c r="H709" s="13" t="str">
        <f>_xlfn.XLOOKUP([1]!Table134526_79101120212223242526[[#This Row],[Name Surname]],[1]Manpower!$C$4:$C$1048576,[1]Manpower!$H$4:$H$1048576,"")</f>
        <v>Manpower</v>
      </c>
      <c r="I709" s="13" t="str">
        <f>_xlfn.XLOOKUP([1]!Table134526_79101120212223242526[[#This Row],[Name Surname]],[1]Manpower!$C$4:$C$1048576,[1]Manpower!$H$4:$H$1048576,"")</f>
        <v>Manpower</v>
      </c>
      <c r="J709" s="13" t="s">
        <v>23</v>
      </c>
      <c r="K709" s="13" t="s">
        <v>7</v>
      </c>
      <c r="L709" s="13" t="s">
        <v>25</v>
      </c>
      <c r="M709" s="13" t="s">
        <v>18</v>
      </c>
      <c r="N709" s="14">
        <v>10</v>
      </c>
      <c r="O709" s="13"/>
      <c r="P709" s="13"/>
      <c r="Q709" s="13"/>
      <c r="R709" s="13" t="s">
        <v>149</v>
      </c>
      <c r="S709" s="15"/>
    </row>
    <row r="710" spans="1:19" x14ac:dyDescent="0.3">
      <c r="A710" s="29" t="e">
        <f>IF(C710="","",MAX($A$2:A709)+1)</f>
        <v>#REF!</v>
      </c>
      <c r="B710" s="30" t="s">
        <v>36</v>
      </c>
      <c r="C710" s="3">
        <v>46109</v>
      </c>
      <c r="D710" s="5" t="str">
        <f>_xlfn.XLOOKUP([1]!Table134526_79101120212223242526[[#This Row],[Name Surname]],[1]Manpower!$C$4:$C$1048576,[1]Manpower!$B$4:$B$1048576,"")</f>
        <v>Bright Light</v>
      </c>
      <c r="E710" s="5" t="s">
        <v>43</v>
      </c>
      <c r="F710" s="4" t="e">
        <f>_xlfn.XLOOKUP([1]!Table134526_79101120212223242526[[#This Row],[Name Surname]],[1]Manpower!C:C,[1]Manpower!D:D,)</f>
        <v>#N/A</v>
      </c>
      <c r="G710" s="5" t="str">
        <f>_xlfn.XLOOKUP([1]!Table134526_79101120212223242526[[#This Row],[Name Surname]],[1]Manpower!$C$4:$C$1048576,[1]Manpower!$F$4:$F$1048576,"")</f>
        <v>100T Telescopic Crane</v>
      </c>
      <c r="H710" s="5" t="str">
        <f>_xlfn.XLOOKUP([1]!Table134526_79101120212223242526[[#This Row],[Name Surname]],[1]Manpower!$C$4:$C$1048576,[1]Manpower!$H$4:$H$1048576,"")</f>
        <v>Equipment</v>
      </c>
      <c r="I710" s="5" t="str">
        <f>_xlfn.XLOOKUP([1]!Table134526_79101120212223242526[[#This Row],[Name Surname]],[1]Manpower!$C$4:$C$1048576,[1]Manpower!$H$4:$H$1048576,"")</f>
        <v>Equipment</v>
      </c>
      <c r="J710" s="5" t="s">
        <v>38</v>
      </c>
      <c r="K710" s="5" t="s">
        <v>7</v>
      </c>
      <c r="L710" s="5" t="s">
        <v>39</v>
      </c>
      <c r="M710" s="5" t="s">
        <v>18</v>
      </c>
      <c r="N710" s="6">
        <v>10</v>
      </c>
      <c r="O710" s="5"/>
      <c r="P710" s="5"/>
      <c r="Q710" s="5"/>
      <c r="R710" s="5" t="s">
        <v>149</v>
      </c>
      <c r="S710" s="8"/>
    </row>
    <row r="711" spans="1:19" x14ac:dyDescent="0.3">
      <c r="A711" s="28" t="e">
        <f>IF(C711="","",MAX($A$2:A710)+1)</f>
        <v>#REF!</v>
      </c>
      <c r="B711" s="30" t="s">
        <v>36</v>
      </c>
      <c r="C711" s="11">
        <v>46109</v>
      </c>
      <c r="D711" s="13" t="str">
        <f>_xlfn.XLOOKUP([1]!Table134526_79101120212223242526[[#This Row],[Name Surname]],[1]Manpower!$C$4:$C$1048576,[1]Manpower!$B$4:$B$1048576,"")</f>
        <v>Bright Light</v>
      </c>
      <c r="E711" s="13" t="s">
        <v>37</v>
      </c>
      <c r="F711" s="12" t="e">
        <f>_xlfn.XLOOKUP([1]!Table134526_79101120212223242526[[#This Row],[Name Surname]],[1]Manpower!C:C,[1]Manpower!D:D,)</f>
        <v>#N/A</v>
      </c>
      <c r="G711" s="13" t="str">
        <f>_xlfn.XLOOKUP([1]!Table134526_79101120212223242526[[#This Row],[Name Surname]],[1]Manpower!$C$4:$C$1048576,[1]Manpower!$F$4:$F$1048576,"")</f>
        <v>150T-Crawler Crane</v>
      </c>
      <c r="H711" s="13" t="str">
        <f>_xlfn.XLOOKUP([1]!Table134526_79101120212223242526[[#This Row],[Name Surname]],[1]Manpower!$C$4:$C$1048576,[1]Manpower!$H$4:$H$1048576,"")</f>
        <v>Equipment</v>
      </c>
      <c r="I711" s="13" t="str">
        <f>_xlfn.XLOOKUP([1]!Table134526_79101120212223242526[[#This Row],[Name Surname]],[1]Manpower!$C$4:$C$1048576,[1]Manpower!$H$4:$H$1048576,"")</f>
        <v>Equipment</v>
      </c>
      <c r="J711" s="13" t="s">
        <v>38</v>
      </c>
      <c r="K711" s="13" t="s">
        <v>7</v>
      </c>
      <c r="L711" s="13" t="s">
        <v>39</v>
      </c>
      <c r="M711" s="13" t="s">
        <v>18</v>
      </c>
      <c r="N711" s="14">
        <v>10</v>
      </c>
      <c r="O711" s="13"/>
      <c r="P711" s="13"/>
      <c r="Q711" s="13"/>
      <c r="R711" s="13" t="s">
        <v>149</v>
      </c>
      <c r="S711" s="15"/>
    </row>
    <row r="712" spans="1:19" x14ac:dyDescent="0.3">
      <c r="A712" s="29" t="e">
        <f>IF(C712="","",MAX($A$2:A711)+1)</f>
        <v>#REF!</v>
      </c>
      <c r="B712" s="30" t="s">
        <v>36</v>
      </c>
      <c r="C712" s="3">
        <v>46109</v>
      </c>
      <c r="D712" s="5" t="str">
        <f>_xlfn.XLOOKUP([1]!Table134526_79101120212223242526[[#This Row],[Name Surname]],[1]Manpower!$C$4:$C$1048576,[1]Manpower!$B$4:$B$1048576,"")</f>
        <v>Encogroup</v>
      </c>
      <c r="E712" s="5" t="s">
        <v>40</v>
      </c>
      <c r="F712" s="4" t="e">
        <f>_xlfn.XLOOKUP([1]!Table134526_79101120212223242526[[#This Row],[Name Surname]],[1]Manpower!C:C,[1]Manpower!D:D,)</f>
        <v>#N/A</v>
      </c>
      <c r="G712" s="5" t="str">
        <f>_xlfn.XLOOKUP([1]!Table134526_79101120212223242526[[#This Row],[Name Surname]],[1]Manpower!$C$4:$C$1048576,[1]Manpower!$F$4:$F$1048576,"")</f>
        <v>22M-Manlift</v>
      </c>
      <c r="H712" s="5" t="str">
        <f>_xlfn.XLOOKUP([1]!Table134526_79101120212223242526[[#This Row],[Name Surname]],[1]Manpower!$C$4:$C$1048576,[1]Manpower!$H$4:$H$1048576,"")</f>
        <v>Equipment</v>
      </c>
      <c r="I712" s="5" t="str">
        <f>_xlfn.XLOOKUP([1]!Table134526_79101120212223242526[[#This Row],[Name Surname]],[1]Manpower!$C$4:$C$1048576,[1]Manpower!$H$4:$H$1048576,"")</f>
        <v>Equipment</v>
      </c>
      <c r="J712" s="5" t="s">
        <v>38</v>
      </c>
      <c r="K712" s="5" t="s">
        <v>7</v>
      </c>
      <c r="L712" s="5" t="s">
        <v>39</v>
      </c>
      <c r="M712" s="5" t="s">
        <v>18</v>
      </c>
      <c r="N712" s="6">
        <v>10</v>
      </c>
      <c r="O712" s="5"/>
      <c r="P712" s="5"/>
      <c r="Q712" s="5"/>
      <c r="R712" s="5" t="s">
        <v>149</v>
      </c>
      <c r="S712" s="8"/>
    </row>
    <row r="713" spans="1:19" x14ac:dyDescent="0.3">
      <c r="A713" s="28" t="e">
        <f>IF(C713="","",MAX($A$2:A711)+1)</f>
        <v>#REF!</v>
      </c>
      <c r="B713" s="30" t="s">
        <v>36</v>
      </c>
      <c r="C713" s="11">
        <v>46109</v>
      </c>
      <c r="D713" s="13" t="str">
        <f>_xlfn.XLOOKUP([1]!Table134526_79101120212223242526[[#This Row],[Name Surname]],[1]Manpower!$C$4:$C$1048576,[1]Manpower!$B$4:$B$1048576,"")</f>
        <v>Encogroup</v>
      </c>
      <c r="E713" s="13" t="s">
        <v>45</v>
      </c>
      <c r="F713" s="12" t="e">
        <f>_xlfn.XLOOKUP([1]!Table134526_79101120212223242526[[#This Row],[Name Surname]],[1]Manpower!C:C,[1]Manpower!D:D,)</f>
        <v>#N/A</v>
      </c>
      <c r="G713" s="13" t="str">
        <f>_xlfn.XLOOKUP([1]!Table134526_79101120212223242526[[#This Row],[Name Surname]],[1]Manpower!$C$4:$C$1048576,[1]Manpower!$F$4:$F$1048576,"")</f>
        <v>28M-Manlift</v>
      </c>
      <c r="H713" s="13" t="str">
        <f>_xlfn.XLOOKUP([1]!Table134526_79101120212223242526[[#This Row],[Name Surname]],[1]Manpower!$C$4:$C$1048576,[1]Manpower!$H$4:$H$1048576,"")</f>
        <v>Equipment</v>
      </c>
      <c r="I713" s="13" t="str">
        <f>_xlfn.XLOOKUP([1]!Table134526_79101120212223242526[[#This Row],[Name Surname]],[1]Manpower!$C$4:$C$1048576,[1]Manpower!$H$4:$H$1048576,"")</f>
        <v>Equipment</v>
      </c>
      <c r="J713" s="13" t="s">
        <v>38</v>
      </c>
      <c r="K713" s="13" t="s">
        <v>7</v>
      </c>
      <c r="L713" s="13" t="s">
        <v>39</v>
      </c>
      <c r="M713" s="13" t="s">
        <v>18</v>
      </c>
      <c r="N713" s="14">
        <v>10</v>
      </c>
      <c r="O713" s="13"/>
      <c r="P713" s="13"/>
      <c r="Q713" s="13"/>
      <c r="R713" s="13" t="s">
        <v>149</v>
      </c>
      <c r="S713" s="15"/>
    </row>
    <row r="714" spans="1:19" x14ac:dyDescent="0.3">
      <c r="A714" s="29" t="e">
        <f>IF(C714="","",MAX($A$2:A713)+1)</f>
        <v>#REF!</v>
      </c>
      <c r="B714" s="30" t="s">
        <v>36</v>
      </c>
      <c r="C714" s="3">
        <v>46109</v>
      </c>
      <c r="D714" s="5" t="str">
        <f>_xlfn.XLOOKUP([1]!Table134526_79101120212223242526[[#This Row],[Name Surname]],[1]Manpower!$C$4:$C$1048576,[1]Manpower!$B$4:$B$1048576,"")</f>
        <v>Encogroup</v>
      </c>
      <c r="E714" s="5" t="s">
        <v>48</v>
      </c>
      <c r="F714" s="4">
        <f>_xlfn.XLOOKUP([1]!Table134526_79101120212223242526[[#This Row],[Name Surname]],[1]Manpower!C:C,[1]Manpower!D:D,)</f>
        <v>140693697</v>
      </c>
      <c r="G714" s="5" t="str">
        <f>_xlfn.XLOOKUP([1]!Table134526_79101120212223242526[[#This Row],[Name Surname]],[1]Manpower!$C$4:$C$1048576,[1]Manpower!$F$4:$F$1048576,"")</f>
        <v>HSE Officer</v>
      </c>
      <c r="H714" s="5" t="str">
        <f>_xlfn.XLOOKUP([1]!Table134526_79101120212223242526[[#This Row],[Name Surname]],[1]Manpower!$C$4:$C$1048576,[1]Manpower!$H$4:$H$1048576,"")</f>
        <v>Manpower</v>
      </c>
      <c r="I714" s="5" t="str">
        <f>_xlfn.XLOOKUP([1]!Table134526_79101120212223242526[[#This Row],[Name Surname]],[1]Manpower!$C$4:$C$1048576,[1]Manpower!$H$4:$H$1048576,"")</f>
        <v>Manpower</v>
      </c>
      <c r="J714" s="5" t="s">
        <v>38</v>
      </c>
      <c r="K714" s="5" t="s">
        <v>7</v>
      </c>
      <c r="L714" s="5" t="s">
        <v>39</v>
      </c>
      <c r="M714" s="5" t="s">
        <v>18</v>
      </c>
      <c r="N714" s="6">
        <v>10</v>
      </c>
      <c r="O714" s="5"/>
      <c r="P714" s="5"/>
      <c r="Q714" s="5"/>
      <c r="R714" s="5" t="s">
        <v>149</v>
      </c>
      <c r="S714" s="8"/>
    </row>
    <row r="715" spans="1:19" x14ac:dyDescent="0.3">
      <c r="A715" s="28" t="e">
        <f>IF(C715="","",MAX($A$2:A714)+1)</f>
        <v>#REF!</v>
      </c>
      <c r="B715" s="30" t="s">
        <v>36</v>
      </c>
      <c r="C715" s="11">
        <v>46109</v>
      </c>
      <c r="D715" s="13" t="str">
        <f>_xlfn.XLOOKUP([1]!Table134526_79101120212223242526[[#This Row],[Name Surname]],[1]Manpower!$C$4:$C$1048576,[1]Manpower!$B$4:$B$1048576,"")</f>
        <v>Encogroup</v>
      </c>
      <c r="E715" s="13" t="s">
        <v>49</v>
      </c>
      <c r="F715" s="12">
        <f>_xlfn.XLOOKUP([1]!Table134526_79101120212223242526[[#This Row],[Name Surname]],[1]Manpower!C:C,[1]Manpower!D:D,)</f>
        <v>127414586</v>
      </c>
      <c r="G715" s="13" t="str">
        <f>_xlfn.XLOOKUP([1]!Table134526_79101120212223242526[[#This Row],[Name Surname]],[1]Manpower!$C$4:$C$1048576,[1]Manpower!$F$4:$F$1048576,"")</f>
        <v>Electrician</v>
      </c>
      <c r="H715" s="13" t="str">
        <f>_xlfn.XLOOKUP([1]!Table134526_79101120212223242526[[#This Row],[Name Surname]],[1]Manpower!$C$4:$C$1048576,[1]Manpower!$H$4:$H$1048576,"")</f>
        <v>Manpower</v>
      </c>
      <c r="I715" s="13" t="str">
        <f>_xlfn.XLOOKUP([1]!Table134526_79101120212223242526[[#This Row],[Name Surname]],[1]Manpower!$C$4:$C$1048576,[1]Manpower!$H$4:$H$1048576,"")</f>
        <v>Manpower</v>
      </c>
      <c r="J715" s="13" t="s">
        <v>38</v>
      </c>
      <c r="K715" s="13" t="s">
        <v>7</v>
      </c>
      <c r="L715" s="13" t="s">
        <v>39</v>
      </c>
      <c r="M715" s="13" t="s">
        <v>18</v>
      </c>
      <c r="N715" s="14">
        <v>10</v>
      </c>
      <c r="O715" s="13"/>
      <c r="P715" s="13"/>
      <c r="Q715" s="13"/>
      <c r="R715" s="13" t="s">
        <v>149</v>
      </c>
      <c r="S715" s="15"/>
    </row>
    <row r="716" spans="1:19" x14ac:dyDescent="0.3">
      <c r="A716" s="29" t="e">
        <f>IF(C716="","",MAX($A$2:A715)+1)</f>
        <v>#REF!</v>
      </c>
      <c r="B716" s="30" t="s">
        <v>36</v>
      </c>
      <c r="C716" s="3">
        <v>46109</v>
      </c>
      <c r="D716" s="5" t="str">
        <f>_xlfn.XLOOKUP([1]!Table134526_79101120212223242526[[#This Row],[Name Surname]],[1]Manpower!$C$4:$C$1048576,[1]Manpower!$B$4:$B$1048576,"")</f>
        <v>Encogroup</v>
      </c>
      <c r="E716" s="5" t="s">
        <v>50</v>
      </c>
      <c r="F716" s="4">
        <f>_xlfn.XLOOKUP([1]!Table134526_79101120212223242526[[#This Row],[Name Surname]],[1]Manpower!C:C,[1]Manpower!D:D,)</f>
        <v>141169085</v>
      </c>
      <c r="G716" s="5" t="str">
        <f>_xlfn.XLOOKUP([1]!Table134526_79101120212223242526[[#This Row],[Name Surname]],[1]Manpower!$C$4:$C$1048576,[1]Manpower!$F$4:$F$1048576,"")</f>
        <v>Welder</v>
      </c>
      <c r="H716" s="5" t="str">
        <f>_xlfn.XLOOKUP([1]!Table134526_79101120212223242526[[#This Row],[Name Surname]],[1]Manpower!$C$4:$C$1048576,[1]Manpower!$H$4:$H$1048576,"")</f>
        <v>Manpower</v>
      </c>
      <c r="I716" s="5" t="str">
        <f>_xlfn.XLOOKUP([1]!Table134526_79101120212223242526[[#This Row],[Name Surname]],[1]Manpower!$C$4:$C$1048576,[1]Manpower!$H$4:$H$1048576,"")</f>
        <v>Manpower</v>
      </c>
      <c r="J716" s="5" t="s">
        <v>38</v>
      </c>
      <c r="K716" s="5" t="s">
        <v>7</v>
      </c>
      <c r="L716" s="5" t="s">
        <v>39</v>
      </c>
      <c r="M716" s="5" t="s">
        <v>18</v>
      </c>
      <c r="N716" s="6">
        <v>10</v>
      </c>
      <c r="O716" s="5"/>
      <c r="P716" s="5"/>
      <c r="Q716" s="5"/>
      <c r="R716" s="5" t="s">
        <v>149</v>
      </c>
      <c r="S716" s="8"/>
    </row>
    <row r="717" spans="1:19" x14ac:dyDescent="0.3">
      <c r="A717" s="28" t="e">
        <f>IF(C717="","",MAX($A$2:A716)+1)</f>
        <v>#REF!</v>
      </c>
      <c r="B717" s="30" t="s">
        <v>36</v>
      </c>
      <c r="C717" s="11">
        <v>46109</v>
      </c>
      <c r="D717" s="13" t="str">
        <f>_xlfn.XLOOKUP([1]!Table134526_79101120212223242526[[#This Row],[Name Surname]],[1]Manpower!$C$4:$C$1048576,[1]Manpower!$B$4:$B$1048576,"")</f>
        <v>Encogroup</v>
      </c>
      <c r="E717" s="11" t="s">
        <v>51</v>
      </c>
      <c r="F717" s="12">
        <f>_xlfn.XLOOKUP([1]!Table134526_79101120212223242526[[#This Row],[Name Surname]],[1]Manpower!C:C,[1]Manpower!D:D,)</f>
        <v>141169047</v>
      </c>
      <c r="G717" s="13" t="str">
        <f>_xlfn.XLOOKUP([1]!Table134526_79101120212223242526[[#This Row],[Name Surname]],[1]Manpower!$C$4:$C$1048576,[1]Manpower!$F$4:$F$1048576,"")</f>
        <v>Welder</v>
      </c>
      <c r="H717" s="13" t="str">
        <f>_xlfn.XLOOKUP([1]!Table134526_79101120212223242526[[#This Row],[Name Surname]],[1]Manpower!$C$4:$C$1048576,[1]Manpower!$H$4:$H$1048576,"")</f>
        <v>Manpower</v>
      </c>
      <c r="I717" s="13" t="str">
        <f>_xlfn.XLOOKUP([1]!Table134526_79101120212223242526[[#This Row],[Name Surname]],[1]Manpower!$C$4:$C$1048576,[1]Manpower!$H$4:$H$1048576,"")</f>
        <v>Manpower</v>
      </c>
      <c r="J717" s="13" t="s">
        <v>38</v>
      </c>
      <c r="K717" s="13" t="s">
        <v>7</v>
      </c>
      <c r="L717" s="13" t="s">
        <v>39</v>
      </c>
      <c r="M717" s="13" t="s">
        <v>18</v>
      </c>
      <c r="N717" s="14">
        <v>10</v>
      </c>
      <c r="O717" s="13"/>
      <c r="P717" s="13"/>
      <c r="Q717" s="13"/>
      <c r="R717" s="13" t="s">
        <v>149</v>
      </c>
      <c r="S717" s="15"/>
    </row>
    <row r="718" spans="1:19" x14ac:dyDescent="0.3">
      <c r="A718" s="29" t="e">
        <f>IF(C718="","",MAX($A$2:A717)+1)</f>
        <v>#REF!</v>
      </c>
      <c r="B718" s="30" t="s">
        <v>36</v>
      </c>
      <c r="C718" s="3">
        <v>46109</v>
      </c>
      <c r="D718" s="5" t="str">
        <f>_xlfn.XLOOKUP([1]!Table134526_79101120212223242526[[#This Row],[Name Surname]],[1]Manpower!$C$4:$C$1048576,[1]Manpower!$B$4:$B$1048576,"")</f>
        <v>Encogroup</v>
      </c>
      <c r="E718" s="5" t="s">
        <v>112</v>
      </c>
      <c r="F718" s="4">
        <f>_xlfn.XLOOKUP([1]!Table134526_79101120212223242526[[#This Row],[Name Surname]],[1]Manpower!C:C,[1]Manpower!D:D,)</f>
        <v>140844797</v>
      </c>
      <c r="G718" s="5" t="str">
        <f>_xlfn.XLOOKUP([1]!Table134526_79101120212223242526[[#This Row],[Name Surname]],[1]Manpower!$C$4:$C$1048576,[1]Manpower!$F$4:$F$1048576,"")</f>
        <v>Fitter/Erector</v>
      </c>
      <c r="H718" s="5" t="str">
        <f>_xlfn.XLOOKUP([1]!Table134526_79101120212223242526[[#This Row],[Name Surname]],[1]Manpower!$C$4:$C$1048576,[1]Manpower!$H$4:$H$1048576,"")</f>
        <v>Manpower</v>
      </c>
      <c r="I718" s="5" t="str">
        <f>_xlfn.XLOOKUP([1]!Table134526_79101120212223242526[[#This Row],[Name Surname]],[1]Manpower!$C$4:$C$1048576,[1]Manpower!$H$4:$H$1048576,"")</f>
        <v>Manpower</v>
      </c>
      <c r="J718" s="5" t="s">
        <v>38</v>
      </c>
      <c r="K718" s="5" t="s">
        <v>7</v>
      </c>
      <c r="L718" s="5" t="s">
        <v>39</v>
      </c>
      <c r="M718" s="5" t="s">
        <v>18</v>
      </c>
      <c r="N718" s="6">
        <v>10</v>
      </c>
      <c r="O718" s="5"/>
      <c r="P718" s="5"/>
      <c r="Q718" s="5"/>
      <c r="R718" s="5" t="s">
        <v>149</v>
      </c>
      <c r="S718" s="8"/>
    </row>
    <row r="719" spans="1:19" x14ac:dyDescent="0.3">
      <c r="A719" s="28" t="e">
        <f>IF(C719="","",MAX($A$2:A718)+1)</f>
        <v>#REF!</v>
      </c>
      <c r="B719" s="30" t="s">
        <v>36</v>
      </c>
      <c r="C719" s="11">
        <v>46109</v>
      </c>
      <c r="D719" s="13" t="str">
        <f>_xlfn.XLOOKUP([1]!Table134526_79101120212223242526[[#This Row],[Name Surname]],[1]Manpower!$C$4:$C$1048576,[1]Manpower!$B$4:$B$1048576,"")</f>
        <v>Encogroup</v>
      </c>
      <c r="E719" s="11" t="s">
        <v>52</v>
      </c>
      <c r="F719" s="12" t="e">
        <f>_xlfn.XLOOKUP([1]!Table134526_79101120212223242526[[#This Row],[Name Surname]],[1]Manpower!C:C,[1]Manpower!D:D,)</f>
        <v>#N/A</v>
      </c>
      <c r="G719" s="13" t="str">
        <f>_xlfn.XLOOKUP([1]!Table134526_79101120212223242526[[#This Row],[Name Surname]],[1]Manpower!$C$4:$C$1048576,[1]Manpower!$F$4:$F$1048576,"")</f>
        <v>22KVA-Generator</v>
      </c>
      <c r="H719" s="13" t="str">
        <f>_xlfn.XLOOKUP([1]!Table134526_79101120212223242526[[#This Row],[Name Surname]],[1]Manpower!$C$4:$C$1048576,[1]Manpower!$H$4:$H$1048576,"")</f>
        <v>Equipment</v>
      </c>
      <c r="I719" s="13" t="str">
        <f>_xlfn.XLOOKUP([1]!Table134526_79101120212223242526[[#This Row],[Name Surname]],[1]Manpower!$C$4:$C$1048576,[1]Manpower!$H$4:$H$1048576,"")</f>
        <v>Equipment</v>
      </c>
      <c r="J719" s="13" t="s">
        <v>38</v>
      </c>
      <c r="K719" s="13" t="s">
        <v>7</v>
      </c>
      <c r="L719" s="13" t="s">
        <v>39</v>
      </c>
      <c r="M719" s="13" t="s">
        <v>18</v>
      </c>
      <c r="N719" s="14">
        <v>10</v>
      </c>
      <c r="O719" s="13"/>
      <c r="P719" s="13"/>
      <c r="Q719" s="13"/>
      <c r="R719" s="13" t="s">
        <v>149</v>
      </c>
      <c r="S719" s="15"/>
    </row>
    <row r="720" spans="1:19" x14ac:dyDescent="0.3">
      <c r="A720" s="29" t="e">
        <f>IF(C720="","",MAX($A$2:A719)+1)</f>
        <v>#REF!</v>
      </c>
      <c r="B720" s="30" t="s">
        <v>36</v>
      </c>
      <c r="C720" s="3">
        <v>46109</v>
      </c>
      <c r="D720" s="5" t="str">
        <f>_xlfn.XLOOKUP([1]!Table134526_79101120212223242526[[#This Row],[Name Surname]],[1]Manpower!$C$4:$C$1048576,[1]Manpower!$B$4:$B$1048576,"")</f>
        <v>Bright Light</v>
      </c>
      <c r="E720" s="5" t="s">
        <v>53</v>
      </c>
      <c r="F720" s="4">
        <f>_xlfn.XLOOKUP([1]!Table134526_79101120212223242526[[#This Row],[Name Surname]],[1]Manpower!C:C,[1]Manpower!D:D,)</f>
        <v>114531608</v>
      </c>
      <c r="G720" s="5" t="str">
        <f>_xlfn.XLOOKUP([1]!Table134526_79101120212223242526[[#This Row],[Name Surname]],[1]Manpower!$C$4:$C$1048576,[1]Manpower!$F$4:$F$1048576,"")</f>
        <v>Crane Operator-150T Sany Crawler</v>
      </c>
      <c r="H720" s="5" t="str">
        <f>_xlfn.XLOOKUP([1]!Table134526_79101120212223242526[[#This Row],[Name Surname]],[1]Manpower!$C$4:$C$1048576,[1]Manpower!$H$4:$H$1048576,"")</f>
        <v>Manpower</v>
      </c>
      <c r="I720" s="5" t="str">
        <f>_xlfn.XLOOKUP([1]!Table134526_79101120212223242526[[#This Row],[Name Surname]],[1]Manpower!$C$4:$C$1048576,[1]Manpower!$H$4:$H$1048576,"")</f>
        <v>Manpower</v>
      </c>
      <c r="J720" s="5" t="s">
        <v>38</v>
      </c>
      <c r="K720" s="5" t="s">
        <v>7</v>
      </c>
      <c r="L720" s="5" t="s">
        <v>39</v>
      </c>
      <c r="M720" s="5" t="s">
        <v>18</v>
      </c>
      <c r="N720" s="6">
        <v>10</v>
      </c>
      <c r="O720" s="5"/>
      <c r="P720" s="5"/>
      <c r="Q720" s="5"/>
      <c r="R720" s="5" t="s">
        <v>149</v>
      </c>
      <c r="S720" s="8"/>
    </row>
    <row r="721" spans="1:19" x14ac:dyDescent="0.3">
      <c r="A721" s="28" t="e">
        <f>IF(C721="","",MAX($A$2:A720)+1)</f>
        <v>#REF!</v>
      </c>
      <c r="B721" s="30" t="s">
        <v>36</v>
      </c>
      <c r="C721" s="11">
        <v>46109</v>
      </c>
      <c r="D721" s="13" t="str">
        <f>_xlfn.XLOOKUP([1]!Table134526_79101120212223242526[[#This Row],[Name Surname]],[1]Manpower!$C$4:$C$1048576,[1]Manpower!$B$4:$B$1048576,"")</f>
        <v>AL Saif &amp; Al QALLM ENT LLC</v>
      </c>
      <c r="E721" s="13" t="s">
        <v>54</v>
      </c>
      <c r="F721" s="12">
        <f>_xlfn.XLOOKUP([1]!Table134526_79101120212223242526[[#This Row],[Name Surname]],[1]Manpower!C:C,[1]Manpower!D:D,)</f>
        <v>108478006</v>
      </c>
      <c r="G721" s="13" t="str">
        <f>_xlfn.XLOOKUP([1]!Table134526_79101120212223242526[[#This Row],[Name Surname]],[1]Manpower!$C$4:$C$1048576,[1]Manpower!$F$4:$F$1048576,"")</f>
        <v>RIgger</v>
      </c>
      <c r="H721" s="13" t="str">
        <f>_xlfn.XLOOKUP([1]!Table134526_79101120212223242526[[#This Row],[Name Surname]],[1]Manpower!$C$4:$C$1048576,[1]Manpower!$H$4:$H$1048576,"")</f>
        <v>Sub Contactor</v>
      </c>
      <c r="I721" s="13" t="str">
        <f>_xlfn.XLOOKUP([1]!Table134526_79101120212223242526[[#This Row],[Name Surname]],[1]Manpower!$C$4:$C$1048576,[1]Manpower!$H$4:$H$1048576,"")</f>
        <v>Sub Contactor</v>
      </c>
      <c r="J721" s="13" t="s">
        <v>38</v>
      </c>
      <c r="K721" s="13" t="s">
        <v>7</v>
      </c>
      <c r="L721" s="13" t="s">
        <v>39</v>
      </c>
      <c r="M721" s="13" t="s">
        <v>18</v>
      </c>
      <c r="N721" s="14">
        <v>10</v>
      </c>
      <c r="O721" s="13"/>
      <c r="P721" s="13"/>
      <c r="Q721" s="13"/>
      <c r="R721" s="13" t="s">
        <v>149</v>
      </c>
      <c r="S721" s="15"/>
    </row>
    <row r="722" spans="1:19" x14ac:dyDescent="0.3">
      <c r="A722" s="29" t="e">
        <f>IF(C722="","",MAX($A$2:A721)+1)</f>
        <v>#REF!</v>
      </c>
      <c r="B722" s="30" t="s">
        <v>36</v>
      </c>
      <c r="C722" s="3">
        <v>46109</v>
      </c>
      <c r="D722" s="5" t="str">
        <f>_xlfn.XLOOKUP([1]!Table134526_79101120212223242526[[#This Row],[Name Surname]],[1]Manpower!$C$4:$C$1048576,[1]Manpower!$B$4:$B$1048576,"")</f>
        <v>AL Omar International TRAD AND CONT</v>
      </c>
      <c r="E722" s="5" t="s">
        <v>55</v>
      </c>
      <c r="F722" s="4">
        <f>_xlfn.XLOOKUP([1]!Table134526_79101120212223242526[[#This Row],[Name Surname]],[1]Manpower!C:C,[1]Manpower!D:D,)</f>
        <v>115018512</v>
      </c>
      <c r="G722" s="5" t="str">
        <f>_xlfn.XLOOKUP([1]!Table134526_79101120212223242526[[#This Row],[Name Surname]],[1]Manpower!$C$4:$C$1048576,[1]Manpower!$F$4:$F$1048576,"")</f>
        <v>RIgger</v>
      </c>
      <c r="H722" s="5" t="str">
        <f>_xlfn.XLOOKUP([1]!Table134526_79101120212223242526[[#This Row],[Name Surname]],[1]Manpower!$C$4:$C$1048576,[1]Manpower!$H$4:$H$1048576,"")</f>
        <v>Sub Contactor</v>
      </c>
      <c r="I722" s="5" t="str">
        <f>_xlfn.XLOOKUP([1]!Table134526_79101120212223242526[[#This Row],[Name Surname]],[1]Manpower!$C$4:$C$1048576,[1]Manpower!$H$4:$H$1048576,"")</f>
        <v>Sub Contactor</v>
      </c>
      <c r="J722" s="5" t="s">
        <v>38</v>
      </c>
      <c r="K722" s="5" t="s">
        <v>7</v>
      </c>
      <c r="L722" s="5" t="s">
        <v>39</v>
      </c>
      <c r="M722" s="5" t="s">
        <v>18</v>
      </c>
      <c r="N722" s="6">
        <v>10</v>
      </c>
      <c r="O722" s="5"/>
      <c r="P722" s="5"/>
      <c r="Q722" s="5"/>
      <c r="R722" s="5" t="s">
        <v>149</v>
      </c>
      <c r="S722" s="8"/>
    </row>
    <row r="723" spans="1:19" x14ac:dyDescent="0.3">
      <c r="A723" s="28" t="e">
        <f>IF(C723="","",MAX($A$2:A722)+1)</f>
        <v>#REF!</v>
      </c>
      <c r="B723" s="30" t="s">
        <v>36</v>
      </c>
      <c r="C723" s="11">
        <v>46109</v>
      </c>
      <c r="D723" s="13" t="str">
        <f>_xlfn.XLOOKUP([1]!Table134526_79101120212223242526[[#This Row],[Name Surname]],[1]Manpower!$C$4:$C$1048576,[1]Manpower!$B$4:$B$1048576,"")</f>
        <v>Encogroup</v>
      </c>
      <c r="E723" s="13" t="s">
        <v>56</v>
      </c>
      <c r="F723" s="12">
        <f>_xlfn.XLOOKUP([1]!Table134526_79101120212223242526[[#This Row],[Name Surname]],[1]Manpower!C:C,[1]Manpower!D:D,)</f>
        <v>122082769</v>
      </c>
      <c r="G723" s="13" t="str">
        <f>_xlfn.XLOOKUP([1]!Table134526_79101120212223242526[[#This Row],[Name Surname]],[1]Manpower!$C$4:$C$1048576,[1]Manpower!$F$4:$F$1048576,"")</f>
        <v>Grinder</v>
      </c>
      <c r="H723" s="13" t="str">
        <f>_xlfn.XLOOKUP([1]!Table134526_79101120212223242526[[#This Row],[Name Surname]],[1]Manpower!$C$4:$C$1048576,[1]Manpower!$H$4:$H$1048576,"")</f>
        <v>Manpower</v>
      </c>
      <c r="I723" s="13" t="str">
        <f>_xlfn.XLOOKUP([1]!Table134526_79101120212223242526[[#This Row],[Name Surname]],[1]Manpower!$C$4:$C$1048576,[1]Manpower!$H$4:$H$1048576,"")</f>
        <v>Manpower</v>
      </c>
      <c r="J723" s="13" t="s">
        <v>38</v>
      </c>
      <c r="K723" s="13" t="s">
        <v>7</v>
      </c>
      <c r="L723" s="13" t="s">
        <v>39</v>
      </c>
      <c r="M723" s="13" t="s">
        <v>18</v>
      </c>
      <c r="N723" s="14">
        <v>10</v>
      </c>
      <c r="O723" s="13"/>
      <c r="P723" s="13"/>
      <c r="Q723" s="13"/>
      <c r="R723" s="13" t="s">
        <v>149</v>
      </c>
      <c r="S723" s="15"/>
    </row>
    <row r="724" spans="1:19" x14ac:dyDescent="0.3">
      <c r="A724" s="29" t="e">
        <f>IF(C724="","",MAX($A$2:A723)+1)</f>
        <v>#REF!</v>
      </c>
      <c r="B724" s="30" t="s">
        <v>36</v>
      </c>
      <c r="C724" s="3">
        <v>46109</v>
      </c>
      <c r="D724" s="5" t="str">
        <f>_xlfn.XLOOKUP([1]!Table134526_79101120212223242526[[#This Row],[Name Surname]],[1]Manpower!$C$4:$C$1048576,[1]Manpower!$B$4:$B$1048576,"")</f>
        <v>Encogroup</v>
      </c>
      <c r="E724" s="5" t="s">
        <v>111</v>
      </c>
      <c r="F724" s="4">
        <f>_xlfn.XLOOKUP([1]!Table134526_79101120212223242526[[#This Row],[Name Surname]],[1]Manpower!C:C,[1]Manpower!D:D,)</f>
        <v>116915582</v>
      </c>
      <c r="G724" s="5" t="str">
        <f>_xlfn.XLOOKUP([1]!Table134526_79101120212223242526[[#This Row],[Name Surname]],[1]Manpower!$C$4:$C$1048576,[1]Manpower!$F$4:$F$1048576,"")</f>
        <v>Mechanical Superintendent</v>
      </c>
      <c r="H724" s="5" t="str">
        <f>_xlfn.XLOOKUP([1]!Table134526_79101120212223242526[[#This Row],[Name Surname]],[1]Manpower!$C$4:$C$1048576,[1]Manpower!$H$4:$H$1048576,"")</f>
        <v>Manpower</v>
      </c>
      <c r="I724" s="5" t="str">
        <f>_xlfn.XLOOKUP([1]!Table134526_79101120212223242526[[#This Row],[Name Surname]],[1]Manpower!$C$4:$C$1048576,[1]Manpower!$H$4:$H$1048576,"")</f>
        <v>Manpower</v>
      </c>
      <c r="J724" s="5" t="s">
        <v>38</v>
      </c>
      <c r="K724" s="5" t="s">
        <v>7</v>
      </c>
      <c r="L724" s="5" t="s">
        <v>39</v>
      </c>
      <c r="M724" s="5" t="s">
        <v>18</v>
      </c>
      <c r="N724" s="6">
        <v>10</v>
      </c>
      <c r="O724" s="5"/>
      <c r="P724" s="5"/>
      <c r="Q724" s="5"/>
      <c r="R724" s="5" t="s">
        <v>19</v>
      </c>
      <c r="S724" s="8"/>
    </row>
    <row r="725" spans="1:19" x14ac:dyDescent="0.3">
      <c r="A725" s="28" t="e">
        <f>IF(C725="","",MAX($A$2:A723)+1)</f>
        <v>#REF!</v>
      </c>
      <c r="B725" s="30" t="s">
        <v>36</v>
      </c>
      <c r="C725" s="11">
        <v>46109</v>
      </c>
      <c r="D725" s="13" t="str">
        <f>_xlfn.XLOOKUP([1]!Table134526_79101120212223242526[[#This Row],[Name Surname]],[1]Manpower!$C$4:$C$1048576,[1]Manpower!$B$4:$B$1048576,"")</f>
        <v>Encogroup</v>
      </c>
      <c r="E725" s="13" t="s">
        <v>112</v>
      </c>
      <c r="F725" s="12">
        <f>_xlfn.XLOOKUP([1]!Table134526_79101120212223242526[[#This Row],[Name Surname]],[1]Manpower!C:C,[1]Manpower!D:D,)</f>
        <v>141169071</v>
      </c>
      <c r="G725" s="13" t="str">
        <f>_xlfn.XLOOKUP([1]!Table134526_79101120212223242526[[#This Row],[Name Surname]],[1]Manpower!$C$4:$C$1048576,[1]Manpower!$F$4:$F$1048576,"")</f>
        <v>Welding Supervisor</v>
      </c>
      <c r="H725" s="13" t="str">
        <f>_xlfn.XLOOKUP([1]!Table134526_79101120212223242526[[#This Row],[Name Surname]],[1]Manpower!$C$4:$C$1048576,[1]Manpower!$H$4:$H$1048576,"")</f>
        <v>Manpower</v>
      </c>
      <c r="I725" s="13" t="str">
        <f>_xlfn.XLOOKUP([1]!Table134526_79101120212223242526[[#This Row],[Name Surname]],[1]Manpower!$C$4:$C$1048576,[1]Manpower!$H$4:$H$1048576,"")</f>
        <v>Manpower</v>
      </c>
      <c r="J725" s="13" t="s">
        <v>38</v>
      </c>
      <c r="K725" s="13" t="s">
        <v>7</v>
      </c>
      <c r="L725" s="13" t="s">
        <v>39</v>
      </c>
      <c r="M725" s="13" t="s">
        <v>18</v>
      </c>
      <c r="N725" s="14">
        <v>10</v>
      </c>
      <c r="O725" s="13"/>
      <c r="P725" s="13"/>
      <c r="Q725" s="13"/>
      <c r="R725" s="13" t="s">
        <v>19</v>
      </c>
      <c r="S725" s="15"/>
    </row>
    <row r="726" spans="1:19" x14ac:dyDescent="0.3">
      <c r="A726" s="29" t="e">
        <f>IF(C726="","",MAX($A$2:A723)+1)</f>
        <v>#REF!</v>
      </c>
      <c r="B726" s="30" t="s">
        <v>36</v>
      </c>
      <c r="C726" s="3">
        <v>46109</v>
      </c>
      <c r="D726" s="5" t="str">
        <f>_xlfn.XLOOKUP([1]!Table134526_79101120212223242526[[#This Row],[Name Surname]],[1]Manpower!$C$4:$C$1048576,[1]Manpower!$B$4:$B$1048576,"")</f>
        <v>Encogroup</v>
      </c>
      <c r="E726" s="5" t="s">
        <v>123</v>
      </c>
      <c r="F726" s="4">
        <f>_xlfn.XLOOKUP([1]!Table134526_79101120212223242526[[#This Row],[Name Surname]],[1]Manpower!C:C,[1]Manpower!D:D,)</f>
        <v>141365126</v>
      </c>
      <c r="G726" s="5" t="str">
        <f>_xlfn.XLOOKUP([1]!Table134526_79101120212223242526[[#This Row],[Name Surname]],[1]Manpower!$C$4:$C$1048576,[1]Manpower!$F$4:$F$1048576,"")</f>
        <v>Helper</v>
      </c>
      <c r="H726" s="5" t="str">
        <f>_xlfn.XLOOKUP([1]!Table134526_79101120212223242526[[#This Row],[Name Surname]],[1]Manpower!$C$4:$C$1048576,[1]Manpower!$H$4:$H$1048576,"")</f>
        <v>Manpower</v>
      </c>
      <c r="I726" s="5" t="str">
        <f>_xlfn.XLOOKUP([1]!Table134526_79101120212223242526[[#This Row],[Name Surname]],[1]Manpower!$C$4:$C$1048576,[1]Manpower!$H$4:$H$1048576,"")</f>
        <v>Manpower</v>
      </c>
      <c r="J726" s="5" t="s">
        <v>38</v>
      </c>
      <c r="K726" s="5" t="s">
        <v>7</v>
      </c>
      <c r="L726" s="5" t="s">
        <v>39</v>
      </c>
      <c r="M726" s="5" t="s">
        <v>18</v>
      </c>
      <c r="N726" s="6">
        <v>10</v>
      </c>
      <c r="O726" s="5"/>
      <c r="P726" s="5"/>
      <c r="Q726" s="5"/>
      <c r="R726" s="5" t="s">
        <v>149</v>
      </c>
      <c r="S726" s="8"/>
    </row>
    <row r="727" spans="1:19" x14ac:dyDescent="0.3">
      <c r="A727" s="28" t="e">
        <f>IF(C727="","",MAX($A$2:A722)+1)</f>
        <v>#REF!</v>
      </c>
      <c r="B727" s="30" t="s">
        <v>36</v>
      </c>
      <c r="C727" s="11">
        <v>46109</v>
      </c>
      <c r="D727" s="13" t="str">
        <f>_xlfn.XLOOKUP([1]!Table134526_79101120212223242526[[#This Row],[Name Surname]],[1]Manpower!$C$4:$C$1048576,[1]Manpower!$B$4:$B$1048576,"")</f>
        <v>Bright Light</v>
      </c>
      <c r="E727" s="13" t="s">
        <v>57</v>
      </c>
      <c r="F727" s="12">
        <f>_xlfn.XLOOKUP([1]!Table134526_79101120212223242526[[#This Row],[Name Surname]],[1]Manpower!C:C,[1]Manpower!D:D,)</f>
        <v>81379273</v>
      </c>
      <c r="G727" s="13" t="str">
        <f>_xlfn.XLOOKUP([1]!Table134526_79101120212223242526[[#This Row],[Name Surname]],[1]Manpower!$C$4:$C$1048576,[1]Manpower!$F$4:$F$1048576,"")</f>
        <v>Crane Operator-100T Sany Telescopic</v>
      </c>
      <c r="H727" s="13" t="str">
        <f>_xlfn.XLOOKUP([1]!Table134526_79101120212223242526[[#This Row],[Name Surname]],[1]Manpower!$C$4:$C$1048576,[1]Manpower!$H$4:$H$1048576,"")</f>
        <v>Manpower</v>
      </c>
      <c r="I727" s="13" t="str">
        <f>_xlfn.XLOOKUP([1]!Table134526_79101120212223242526[[#This Row],[Name Surname]],[1]Manpower!$C$4:$C$1048576,[1]Manpower!$H$4:$H$1048576,"")</f>
        <v>Manpower</v>
      </c>
      <c r="J727" s="13" t="s">
        <v>38</v>
      </c>
      <c r="K727" s="13" t="s">
        <v>7</v>
      </c>
      <c r="L727" s="13" t="s">
        <v>39</v>
      </c>
      <c r="M727" s="13" t="s">
        <v>18</v>
      </c>
      <c r="N727" s="14">
        <v>10</v>
      </c>
      <c r="O727" s="13"/>
      <c r="P727" s="13"/>
      <c r="Q727" s="13"/>
      <c r="R727" s="13" t="s">
        <v>149</v>
      </c>
      <c r="S727" s="15"/>
    </row>
    <row r="728" spans="1:19" x14ac:dyDescent="0.3">
      <c r="A728" s="29" t="e">
        <f>IF(C728="","",MAX($A$2:A727)+1)</f>
        <v>#REF!</v>
      </c>
      <c r="B728" s="30" t="s">
        <v>36</v>
      </c>
      <c r="C728" s="3">
        <v>46109</v>
      </c>
      <c r="D728" s="5" t="str">
        <f>_xlfn.XLOOKUP([1]!Table134526_79101120212223242526[[#This Row],[Name Surname]],[1]Manpower!$C$4:$C$1048576,[1]Manpower!$B$4:$B$1048576,"")</f>
        <v>Encogroup</v>
      </c>
      <c r="E728" s="3" t="s">
        <v>58</v>
      </c>
      <c r="F728" s="4">
        <f>_xlfn.XLOOKUP([1]!Table134526_79101120212223242526[[#This Row],[Name Surname]],[1]Manpower!C:C,[1]Manpower!D:D,)</f>
        <v>140764706</v>
      </c>
      <c r="G728" s="5" t="str">
        <f>_xlfn.XLOOKUP([1]!Table134526_79101120212223242526[[#This Row],[Name Surname]],[1]Manpower!$C$4:$C$1048576,[1]Manpower!$F$4:$F$1048576,"")</f>
        <v>Rigger</v>
      </c>
      <c r="H728" s="5" t="str">
        <f>_xlfn.XLOOKUP([1]!Table134526_79101120212223242526[[#This Row],[Name Surname]],[1]Manpower!$C$4:$C$1048576,[1]Manpower!$H$4:$H$1048576,"")</f>
        <v>Manpower</v>
      </c>
      <c r="I728" s="5" t="str">
        <f>_xlfn.XLOOKUP([1]!Table134526_79101120212223242526[[#This Row],[Name Surname]],[1]Manpower!$C$4:$C$1048576,[1]Manpower!$H$4:$H$1048576,"")</f>
        <v>Manpower</v>
      </c>
      <c r="J728" s="5" t="s">
        <v>38</v>
      </c>
      <c r="K728" s="5" t="s">
        <v>7</v>
      </c>
      <c r="L728" s="5" t="s">
        <v>39</v>
      </c>
      <c r="M728" s="5" t="s">
        <v>18</v>
      </c>
      <c r="N728" s="6">
        <v>10</v>
      </c>
      <c r="O728" s="5"/>
      <c r="P728" s="5"/>
      <c r="Q728" s="5"/>
      <c r="R728" s="5" t="s">
        <v>149</v>
      </c>
      <c r="S728" s="8"/>
    </row>
    <row r="729" spans="1:19" x14ac:dyDescent="0.3">
      <c r="A729" s="28" t="e">
        <f>IF(C729="","",MAX($A$2:A728)+1)</f>
        <v>#REF!</v>
      </c>
      <c r="B729" s="30" t="s">
        <v>36</v>
      </c>
      <c r="C729" s="11">
        <v>46109</v>
      </c>
      <c r="D729" s="13" t="str">
        <f>_xlfn.XLOOKUP([1]!Table134526_79101120212223242526[[#This Row],[Name Surname]],[1]Manpower!$C$4:$C$1048576,[1]Manpower!$B$4:$B$1048576,"")</f>
        <v>Encogroup</v>
      </c>
      <c r="E729" s="11" t="s">
        <v>59</v>
      </c>
      <c r="F729" s="12">
        <f>_xlfn.XLOOKUP([1]!Table134526_79101120212223242526[[#This Row],[Name Surname]],[1]Manpower!C:C,[1]Manpower!D:D,)</f>
        <v>135325259</v>
      </c>
      <c r="G729" s="13" t="str">
        <f>_xlfn.XLOOKUP([1]!Table134526_79101120212223242526[[#This Row],[Name Surname]],[1]Manpower!$C$4:$C$1048576,[1]Manpower!$F$4:$F$1048576,"")</f>
        <v>Permit Receiver</v>
      </c>
      <c r="H729" s="13" t="str">
        <f>_xlfn.XLOOKUP([1]!Table134526_79101120212223242526[[#This Row],[Name Surname]],[1]Manpower!$C$4:$C$1048576,[1]Manpower!$H$4:$H$1048576,"")</f>
        <v>Manpower</v>
      </c>
      <c r="I729" s="13" t="str">
        <f>_xlfn.XLOOKUP([1]!Table134526_79101120212223242526[[#This Row],[Name Surname]],[1]Manpower!$C$4:$C$1048576,[1]Manpower!$H$4:$H$1048576,"")</f>
        <v>Manpower</v>
      </c>
      <c r="J729" s="13" t="s">
        <v>38</v>
      </c>
      <c r="K729" s="13" t="s">
        <v>7</v>
      </c>
      <c r="L729" s="13" t="s">
        <v>39</v>
      </c>
      <c r="M729" s="13" t="s">
        <v>18</v>
      </c>
      <c r="N729" s="14">
        <v>10</v>
      </c>
      <c r="O729" s="13"/>
      <c r="P729" s="13"/>
      <c r="Q729" s="13"/>
      <c r="R729" s="13" t="s">
        <v>149</v>
      </c>
      <c r="S729" s="15"/>
    </row>
    <row r="730" spans="1:19" x14ac:dyDescent="0.3">
      <c r="A730" s="29" t="e">
        <f>IF(C730="","",MAX($A$2:A729)+1)</f>
        <v>#REF!</v>
      </c>
      <c r="B730" s="32" t="s">
        <v>0</v>
      </c>
      <c r="C730" s="33">
        <v>46110</v>
      </c>
      <c r="D730" s="34" t="str">
        <f>_xlfn.XLOOKUP([1]!Table134526_79101120212223242526[[#This Row],[Name Surname]],[1]Manpower!$C$4:$C$1048576,[1]Manpower!$B$4:$B$1048576,"")</f>
        <v>Encogroup</v>
      </c>
      <c r="E730" s="34" t="s">
        <v>129</v>
      </c>
      <c r="F730" s="4">
        <f>_xlfn.XLOOKUP([1]!Table134526_79101120212223242526[[#This Row],[Name Surname]],[1]Manpower!C:C,[1]Manpower!D:D,)</f>
        <v>141365089</v>
      </c>
      <c r="G730" s="34" t="str">
        <f>_xlfn.XLOOKUP([1]!Table134526_79101120212223242526[[#This Row],[Name Surname]],[1]Manpower!$C$4:$C$1048576,[1]Manpower!$F$4:$F$1048576,"")</f>
        <v>Fitter</v>
      </c>
      <c r="H730" s="34" t="str">
        <f>_xlfn.XLOOKUP([1]!Table134526_79101120212223242526[[#This Row],[Name Surname]],[1]Manpower!$C$4:$C$1048576,[1]Manpower!$H$4:$H$1048576,"")</f>
        <v>Manpower</v>
      </c>
      <c r="I730" s="5" t="str">
        <f>_xlfn.XLOOKUP([1]!Table134526_79101120212223242526[[#This Row],[Name Surname]],[1]Manpower!$C$4:$C$1048576,[1]Manpower!$H$4:$H$1048576,"")</f>
        <v>Manpower</v>
      </c>
      <c r="J730" s="5" t="s">
        <v>2</v>
      </c>
      <c r="K730" s="34" t="s">
        <v>130</v>
      </c>
      <c r="L730" s="34" t="s">
        <v>10</v>
      </c>
      <c r="M730" s="34" t="s">
        <v>18</v>
      </c>
      <c r="N730" s="35">
        <v>10</v>
      </c>
      <c r="O730" s="34"/>
      <c r="P730" s="34"/>
      <c r="Q730" s="34"/>
      <c r="R730" s="34" t="s">
        <v>150</v>
      </c>
      <c r="S730" s="8"/>
    </row>
    <row r="731" spans="1:19" x14ac:dyDescent="0.3">
      <c r="A731" s="28" t="e">
        <f>IF(C731="","",MAX($A$2:A730)+1)</f>
        <v>#REF!</v>
      </c>
      <c r="B731" s="32" t="s">
        <v>0</v>
      </c>
      <c r="C731" s="36">
        <v>46110</v>
      </c>
      <c r="D731" s="37" t="str">
        <f>_xlfn.XLOOKUP([1]!Table134526_79101120212223242526[[#This Row],[Name Surname]],[1]Manpower!$C$4:$C$1048576,[1]Manpower!$B$4:$B$1048576,"")</f>
        <v>Encogroup</v>
      </c>
      <c r="E731" s="37" t="s">
        <v>46</v>
      </c>
      <c r="F731" s="12">
        <f>_xlfn.XLOOKUP([1]!Table134526_79101120212223242526[[#This Row],[Name Surname]],[1]Manpower!C:C,[1]Manpower!D:D,)</f>
        <v>122179604</v>
      </c>
      <c r="G731" s="37" t="str">
        <f>_xlfn.XLOOKUP([1]!Table134526_79101120212223242526[[#This Row],[Name Surname]],[1]Manpower!$C$4:$C$1048576,[1]Manpower!$F$4:$F$1048576,"")</f>
        <v>Fitter/Erector</v>
      </c>
      <c r="H731" s="37" t="str">
        <f>_xlfn.XLOOKUP([1]!Table134526_79101120212223242526[[#This Row],[Name Surname]],[1]Manpower!$C$4:$C$1048576,[1]Manpower!$H$4:$H$1048576,"")</f>
        <v>Manpower</v>
      </c>
      <c r="I731" s="13" t="str">
        <f>_xlfn.XLOOKUP([1]!Table134526_79101120212223242526[[#This Row],[Name Surname]],[1]Manpower!$C$4:$C$1048576,[1]Manpower!$H$4:$H$1048576,"")</f>
        <v>Manpower</v>
      </c>
      <c r="J731" s="13" t="s">
        <v>2</v>
      </c>
      <c r="K731" s="37" t="s">
        <v>130</v>
      </c>
      <c r="L731" s="37" t="s">
        <v>10</v>
      </c>
      <c r="M731" s="37" t="s">
        <v>18</v>
      </c>
      <c r="N731" s="38">
        <v>10</v>
      </c>
      <c r="O731" s="37"/>
      <c r="P731" s="37"/>
      <c r="Q731" s="37"/>
      <c r="R731" s="37" t="s">
        <v>150</v>
      </c>
      <c r="S731" s="39"/>
    </row>
    <row r="732" spans="1:19" x14ac:dyDescent="0.3">
      <c r="A732" s="29" t="e">
        <f>IF(C732="","",MAX($A$2:A731)+1)</f>
        <v>#REF!</v>
      </c>
      <c r="B732" s="40" t="s">
        <v>0</v>
      </c>
      <c r="C732" s="33">
        <v>46110</v>
      </c>
      <c r="D732" s="34" t="str">
        <f>_xlfn.XLOOKUP([1]!Table134526_79101120212223242526[[#This Row],[Name Surname]],[1]Manpower!$C$4:$C$1048576,[1]Manpower!$B$4:$B$1048576,"")</f>
        <v>Encogroup</v>
      </c>
      <c r="E732" s="33" t="s">
        <v>61</v>
      </c>
      <c r="F732" s="4">
        <f>_xlfn.XLOOKUP([1]!Table134526_79101120212223242526[[#This Row],[Name Surname]],[1]Manpower!C:C,[1]Manpower!D:D,)</f>
        <v>117255966</v>
      </c>
      <c r="G732" s="34" t="str">
        <f>_xlfn.XLOOKUP([1]!Table134526_79101120212223242526[[#This Row],[Name Surname]],[1]Manpower!$C$4:$C$1048576,[1]Manpower!$F$4:$F$1048576,"")</f>
        <v>Mechanical Supervisor</v>
      </c>
      <c r="H732" s="34" t="str">
        <f>_xlfn.XLOOKUP([1]!Table134526_79101120212223242526[[#This Row],[Name Surname]],[1]Manpower!$C$4:$C$1048576,[1]Manpower!$H$4:$H$1048576,"")</f>
        <v>Manpower</v>
      </c>
      <c r="I732" s="5" t="str">
        <f>_xlfn.XLOOKUP([1]!Table134526_79101120212223242526[[#This Row],[Name Surname]],[1]Manpower!$C$4:$C$1048576,[1]Manpower!$H$4:$H$1048576,"")</f>
        <v>Manpower</v>
      </c>
      <c r="J732" s="5" t="s">
        <v>9</v>
      </c>
      <c r="K732" s="34" t="s">
        <v>7</v>
      </c>
      <c r="L732" s="34" t="s">
        <v>10</v>
      </c>
      <c r="M732" s="34" t="s">
        <v>18</v>
      </c>
      <c r="N732" s="35">
        <v>10</v>
      </c>
      <c r="O732" s="34"/>
      <c r="P732" s="34"/>
      <c r="Q732" s="34"/>
      <c r="R732" s="34" t="s">
        <v>151</v>
      </c>
      <c r="S732" s="8"/>
    </row>
    <row r="733" spans="1:19" x14ac:dyDescent="0.3">
      <c r="A733" s="28" t="e">
        <f>IF(C733="","",MAX($A$2:A732)+1)</f>
        <v>#REF!</v>
      </c>
      <c r="B733" s="40" t="s">
        <v>0</v>
      </c>
      <c r="C733" s="36">
        <v>46110</v>
      </c>
      <c r="D733" s="37" t="str">
        <f>_xlfn.XLOOKUP([1]!Table134526_79101120212223242526[[#This Row],[Name Surname]],[1]Manpower!$C$4:$C$1048576,[1]Manpower!$B$4:$B$1048576,"")</f>
        <v>Encogroup</v>
      </c>
      <c r="E733" s="37" t="s">
        <v>8</v>
      </c>
      <c r="F733" s="12" t="e">
        <f>_xlfn.XLOOKUP([1]!Table134526_79101120212223242526[[#This Row],[Name Surname]],[1]Manpower!C:C,[1]Manpower!D:D,)</f>
        <v>#N/A</v>
      </c>
      <c r="G733" s="37" t="str">
        <f>_xlfn.XLOOKUP([1]!Table134526_79101120212223242526[[#This Row],[Name Surname]],[1]Manpower!$C$4:$C$1048576,[1]Manpower!$F$4:$F$1048576,"")</f>
        <v>22M-Manlift</v>
      </c>
      <c r="H733" s="37" t="str">
        <f>_xlfn.XLOOKUP([1]!Table134526_79101120212223242526[[#This Row],[Name Surname]],[1]Manpower!$C$4:$C$1048576,[1]Manpower!$H$4:$H$1048576,"")</f>
        <v>Equipment</v>
      </c>
      <c r="I733" s="13" t="str">
        <f>_xlfn.XLOOKUP([1]!Table134526_79101120212223242526[[#This Row],[Name Surname]],[1]Manpower!$C$4:$C$1048576,[1]Manpower!$H$4:$H$1048576,"")</f>
        <v>Equipment</v>
      </c>
      <c r="J733" s="13" t="s">
        <v>9</v>
      </c>
      <c r="K733" s="37" t="s">
        <v>7</v>
      </c>
      <c r="L733" s="37" t="s">
        <v>10</v>
      </c>
      <c r="M733" s="37" t="s">
        <v>5</v>
      </c>
      <c r="N733" s="38">
        <v>10</v>
      </c>
      <c r="O733" s="37" t="s">
        <v>6</v>
      </c>
      <c r="P733" s="37" t="s">
        <v>12</v>
      </c>
      <c r="Q733" s="37" t="s">
        <v>29</v>
      </c>
      <c r="R733" s="37" t="s">
        <v>152</v>
      </c>
      <c r="S733" s="15"/>
    </row>
    <row r="734" spans="1:19" x14ac:dyDescent="0.3">
      <c r="A734" s="29" t="e">
        <f>IF(C734="","",MAX($A$2:A733)+1)</f>
        <v>#REF!</v>
      </c>
      <c r="B734" s="40" t="s">
        <v>0</v>
      </c>
      <c r="C734" s="33">
        <v>46110</v>
      </c>
      <c r="D734" s="34" t="str">
        <f>_xlfn.XLOOKUP([1]!Table134526_79101120212223242526[[#This Row],[Name Surname]],[1]Manpower!$C$4:$C$1048576,[1]Manpower!$B$4:$B$1048576,"")</f>
        <v>Encogroup</v>
      </c>
      <c r="E734" s="34" t="s">
        <v>17</v>
      </c>
      <c r="F734" s="4" t="e">
        <f>_xlfn.XLOOKUP([1]!Table134526_79101120212223242526[[#This Row],[Name Surname]],[1]Manpower!C:C,[1]Manpower!D:D,)</f>
        <v>#N/A</v>
      </c>
      <c r="G734" s="34" t="str">
        <f>_xlfn.XLOOKUP([1]!Table134526_79101120212223242526[[#This Row],[Name Surname]],[1]Manpower!$C$4:$C$1048576,[1]Manpower!$F$4:$F$1048576,"")</f>
        <v>22M-Manlift</v>
      </c>
      <c r="H734" s="34" t="str">
        <f>_xlfn.XLOOKUP([1]!Table134526_79101120212223242526[[#This Row],[Name Surname]],[1]Manpower!$C$4:$C$1048576,[1]Manpower!$H$4:$H$1048576,"")</f>
        <v>Equipment</v>
      </c>
      <c r="I734" s="5" t="str">
        <f>_xlfn.XLOOKUP([1]!Table134526_79101120212223242526[[#This Row],[Name Surname]],[1]Manpower!$C$4:$C$1048576,[1]Manpower!$H$4:$H$1048576,"")</f>
        <v>Equipment</v>
      </c>
      <c r="J734" s="5" t="s">
        <v>9</v>
      </c>
      <c r="K734" s="34" t="s">
        <v>7</v>
      </c>
      <c r="L734" s="34" t="s">
        <v>10</v>
      </c>
      <c r="M734" s="34" t="s">
        <v>5</v>
      </c>
      <c r="N734" s="35">
        <v>10</v>
      </c>
      <c r="O734" s="34" t="s">
        <v>6</v>
      </c>
      <c r="P734" s="34" t="s">
        <v>12</v>
      </c>
      <c r="Q734" s="34" t="s">
        <v>29</v>
      </c>
      <c r="R734" s="34" t="s">
        <v>152</v>
      </c>
      <c r="S734" s="8"/>
    </row>
    <row r="735" spans="1:19" x14ac:dyDescent="0.3">
      <c r="A735" s="28" t="e">
        <f>IF(C735="","",MAX($A$2:A734)+1)</f>
        <v>#REF!</v>
      </c>
      <c r="B735" s="40" t="s">
        <v>0</v>
      </c>
      <c r="C735" s="36">
        <v>46110</v>
      </c>
      <c r="D735" s="37" t="str">
        <f>_xlfn.XLOOKUP([1]!Table134526_79101120212223242526[[#This Row],[Name Surname]],[1]Manpower!$C$4:$C$1048576,[1]Manpower!$B$4:$B$1048576,"")</f>
        <v>Nass Group</v>
      </c>
      <c r="E735" s="37" t="s">
        <v>15</v>
      </c>
      <c r="F735" s="12" t="e">
        <f>_xlfn.XLOOKUP([1]!Table134526_79101120212223242526[[#This Row],[Name Surname]],[1]Manpower!C:C,[1]Manpower!D:D,)</f>
        <v>#N/A</v>
      </c>
      <c r="G735" s="37" t="str">
        <f>_xlfn.XLOOKUP([1]!Table134526_79101120212223242526[[#This Row],[Name Surname]],[1]Manpower!$C$4:$C$1048576,[1]Manpower!$F$4:$F$1048576,"")</f>
        <v>70T-Telescopic crane</v>
      </c>
      <c r="H735" s="37" t="str">
        <f>_xlfn.XLOOKUP([1]!Table134526_79101120212223242526[[#This Row],[Name Surname]],[1]Manpower!$C$4:$C$1048576,[1]Manpower!$H$4:$H$1048576,"")</f>
        <v>Equipment</v>
      </c>
      <c r="I735" s="13" t="str">
        <f>_xlfn.XLOOKUP([1]!Table134526_79101120212223242526[[#This Row],[Name Surname]],[1]Manpower!$C$4:$C$1048576,[1]Manpower!$H$4:$H$1048576,"")</f>
        <v>Equipment</v>
      </c>
      <c r="J735" s="13" t="s">
        <v>9</v>
      </c>
      <c r="K735" s="37" t="s">
        <v>7</v>
      </c>
      <c r="L735" s="37" t="s">
        <v>10</v>
      </c>
      <c r="M735" s="37" t="s">
        <v>5</v>
      </c>
      <c r="N735" s="38">
        <v>10</v>
      </c>
      <c r="O735" s="37" t="s">
        <v>6</v>
      </c>
      <c r="P735" s="37" t="s">
        <v>12</v>
      </c>
      <c r="Q735" s="37" t="s">
        <v>29</v>
      </c>
      <c r="R735" s="37" t="s">
        <v>152</v>
      </c>
      <c r="S735" s="15"/>
    </row>
    <row r="736" spans="1:19" x14ac:dyDescent="0.3">
      <c r="A736" s="29" t="e">
        <f>IF(C736="","",MAX($A$2:A735)+1)</f>
        <v>#REF!</v>
      </c>
      <c r="B736" s="40" t="s">
        <v>0</v>
      </c>
      <c r="C736" s="33">
        <v>46110</v>
      </c>
      <c r="D736" s="33" t="str">
        <f>_xlfn.XLOOKUP([1]!Table134526_79101120212223242526[[#This Row],[Name Surname]],[1]Manpower!$C$4:$C$1048576,[1]Manpower!$B$4:$B$1048576,"")</f>
        <v>Encogroup</v>
      </c>
      <c r="E736" s="33" t="s">
        <v>20</v>
      </c>
      <c r="F736" s="4">
        <f>_xlfn.XLOOKUP([1]!Table134526_79101120212223242526[[#This Row],[Name Surname]],[1]Manpower!C:C,[1]Manpower!D:D,)</f>
        <v>126724428</v>
      </c>
      <c r="G736" s="33" t="str">
        <f>_xlfn.XLOOKUP([1]!Table134526_79101120212223242526[[#This Row],[Name Surname]],[1]Manpower!$C$4:$C$1048576,[1]Manpower!$F$4:$F$1048576,"")</f>
        <v>Surveyor</v>
      </c>
      <c r="H736" s="33" t="str">
        <f>_xlfn.XLOOKUP([1]!Table134526_79101120212223242526[[#This Row],[Name Surname]],[1]Manpower!$C$4:$C$1048576,[1]Manpower!$H$4:$H$1048576,"")</f>
        <v>Manpower</v>
      </c>
      <c r="I736" s="33" t="str">
        <f>_xlfn.XLOOKUP([1]!Table134526_79101120212223242526[[#This Row],[Name Surname]],[1]Manpower!$C$4:$C$1048576,[1]Manpower!$H$4:$H$1048576,"")</f>
        <v>Manpower</v>
      </c>
      <c r="J736" s="5" t="s">
        <v>9</v>
      </c>
      <c r="K736" s="34" t="s">
        <v>7</v>
      </c>
      <c r="L736" s="34" t="s">
        <v>10</v>
      </c>
      <c r="M736" s="34" t="s">
        <v>5</v>
      </c>
      <c r="N736" s="35">
        <v>10</v>
      </c>
      <c r="O736" s="34" t="s">
        <v>6</v>
      </c>
      <c r="P736" s="34" t="s">
        <v>12</v>
      </c>
      <c r="Q736" s="34" t="s">
        <v>29</v>
      </c>
      <c r="R736" s="34" t="s">
        <v>152</v>
      </c>
      <c r="S736" s="8"/>
    </row>
    <row r="737" spans="1:19" x14ac:dyDescent="0.3">
      <c r="A737" s="28" t="e">
        <f>IF(C737="","",MAX($A$2:A736)+1)</f>
        <v>#REF!</v>
      </c>
      <c r="B737" s="41" t="s">
        <v>36</v>
      </c>
      <c r="C737" s="36">
        <v>46110</v>
      </c>
      <c r="D737" s="37" t="str">
        <f>_xlfn.XLOOKUP([1]!Table134526_79101120212223242526[[#This Row],[Name Surname]],[1]Manpower!$C$4:$C$1048576,[1]Manpower!$B$4:$B$1048576,"")</f>
        <v>Encogroup</v>
      </c>
      <c r="E737" s="37" t="s">
        <v>22</v>
      </c>
      <c r="F737" s="12">
        <f>_xlfn.XLOOKUP([1]!Table134526_79101120212223242526[[#This Row],[Name Surname]],[1]Manpower!C:C,[1]Manpower!D:D,)</f>
        <v>132915855</v>
      </c>
      <c r="G737" s="37" t="str">
        <f>_xlfn.XLOOKUP([1]!Table134526_79101120212223242526[[#This Row],[Name Surname]],[1]Manpower!$C$4:$C$1048576,[1]Manpower!$F$4:$F$1048576,"")</f>
        <v>Mechanical Supervisor</v>
      </c>
      <c r="H737" s="37" t="str">
        <f>_xlfn.XLOOKUP([1]!Table134526_79101120212223242526[[#This Row],[Name Surname]],[1]Manpower!$C$4:$C$1048576,[1]Manpower!$H$4:$H$1048576,"")</f>
        <v>Manpower</v>
      </c>
      <c r="I737" s="13" t="str">
        <f>_xlfn.XLOOKUP([1]!Table134526_79101120212223242526[[#This Row],[Name Surname]],[1]Manpower!$C$4:$C$1048576,[1]Manpower!$H$4:$H$1048576,"")</f>
        <v>Manpower</v>
      </c>
      <c r="J737" s="13" t="s">
        <v>23</v>
      </c>
      <c r="K737" s="37" t="s">
        <v>153</v>
      </c>
      <c r="L737" s="37" t="s">
        <v>25</v>
      </c>
      <c r="M737" s="37" t="s">
        <v>5</v>
      </c>
      <c r="N737" s="38">
        <v>10</v>
      </c>
      <c r="O737" s="13" t="s">
        <v>6</v>
      </c>
      <c r="P737" s="13" t="s">
        <v>12</v>
      </c>
      <c r="Q737" s="13" t="s">
        <v>26</v>
      </c>
      <c r="R737" s="37" t="s">
        <v>154</v>
      </c>
      <c r="S737" s="15"/>
    </row>
    <row r="738" spans="1:19" x14ac:dyDescent="0.3">
      <c r="A738" s="29" t="e">
        <f>IF(C738="","",MAX($A$2:A737)+1)</f>
        <v>#REF!</v>
      </c>
      <c r="B738" s="41" t="s">
        <v>36</v>
      </c>
      <c r="C738" s="33">
        <v>46110</v>
      </c>
      <c r="D738" s="34" t="str">
        <f>_xlfn.XLOOKUP([1]!Table134526_79101120212223242526[[#This Row],[Name Surname]],[1]Manpower!$C$4:$C$1048576,[1]Manpower!$B$4:$B$1048576,"")</f>
        <v>Encogroup</v>
      </c>
      <c r="E738" s="34" t="s">
        <v>28</v>
      </c>
      <c r="F738" s="4">
        <f>_xlfn.XLOOKUP([1]!Table134526_79101120212223242526[[#This Row],[Name Surname]],[1]Manpower!C:C,[1]Manpower!D:D,)</f>
        <v>141377747</v>
      </c>
      <c r="G738" s="34" t="str">
        <f>_xlfn.XLOOKUP([1]!Table134526_79101120212223242526[[#This Row],[Name Surname]],[1]Manpower!$C$4:$C$1048576,[1]Manpower!$F$4:$F$1048576,"")</f>
        <v>Painter</v>
      </c>
      <c r="H738" s="34" t="str">
        <f>_xlfn.XLOOKUP([1]!Table134526_79101120212223242526[[#This Row],[Name Surname]],[1]Manpower!$C$4:$C$1048576,[1]Manpower!$H$4:$H$1048576,"")</f>
        <v>Manpower</v>
      </c>
      <c r="I738" s="5" t="str">
        <f>_xlfn.XLOOKUP([1]!Table134526_79101120212223242526[[#This Row],[Name Surname]],[1]Manpower!$C$4:$C$1048576,[1]Manpower!$H$4:$H$1048576,"")</f>
        <v>Manpower</v>
      </c>
      <c r="J738" s="5" t="s">
        <v>23</v>
      </c>
      <c r="K738" s="34" t="s">
        <v>153</v>
      </c>
      <c r="L738" s="34" t="s">
        <v>25</v>
      </c>
      <c r="M738" s="34" t="s">
        <v>5</v>
      </c>
      <c r="N738" s="35">
        <v>10</v>
      </c>
      <c r="O738" s="5" t="s">
        <v>6</v>
      </c>
      <c r="P738" s="5" t="s">
        <v>12</v>
      </c>
      <c r="Q738" s="5" t="s">
        <v>26</v>
      </c>
      <c r="R738" s="34" t="s">
        <v>154</v>
      </c>
      <c r="S738" s="8"/>
    </row>
    <row r="739" spans="1:19" x14ac:dyDescent="0.3">
      <c r="A739" s="28" t="e">
        <f>IF(C739="","",MAX($A$2:A738)+1)</f>
        <v>#REF!</v>
      </c>
      <c r="B739" s="41" t="s">
        <v>36</v>
      </c>
      <c r="C739" s="36">
        <v>46110</v>
      </c>
      <c r="D739" s="37" t="str">
        <f>_xlfn.XLOOKUP([1]!Table134526_79101120212223242526[[#This Row],[Name Surname]],[1]Manpower!$C$4:$C$1048576,[1]Manpower!$B$4:$B$1048576,"")</f>
        <v>Encogroup</v>
      </c>
      <c r="E739" s="37" t="s">
        <v>111</v>
      </c>
      <c r="F739" s="12">
        <f>_xlfn.XLOOKUP([1]!Table134526_79101120212223242526[[#This Row],[Name Surname]],[1]Manpower!C:C,[1]Manpower!D:D,)</f>
        <v>141359235</v>
      </c>
      <c r="G739" s="37" t="str">
        <f>_xlfn.XLOOKUP([1]!Table134526_79101120212223242526[[#This Row],[Name Surname]],[1]Manpower!$C$4:$C$1048576,[1]Manpower!$F$4:$F$1048576,"")</f>
        <v>Fitter</v>
      </c>
      <c r="H739" s="37" t="str">
        <f>_xlfn.XLOOKUP([1]!Table134526_79101120212223242526[[#This Row],[Name Surname]],[1]Manpower!$C$4:$C$1048576,[1]Manpower!$H$4:$H$1048576,"")</f>
        <v>Manpower</v>
      </c>
      <c r="I739" s="13" t="str">
        <f>_xlfn.XLOOKUP([1]!Table134526_79101120212223242526[[#This Row],[Name Surname]],[1]Manpower!$C$4:$C$1048576,[1]Manpower!$H$4:$H$1048576,"")</f>
        <v>Manpower</v>
      </c>
      <c r="J739" s="13" t="s">
        <v>23</v>
      </c>
      <c r="K739" s="37" t="s">
        <v>153</v>
      </c>
      <c r="L739" s="37" t="s">
        <v>25</v>
      </c>
      <c r="M739" s="37" t="s">
        <v>5</v>
      </c>
      <c r="N739" s="38">
        <v>10</v>
      </c>
      <c r="O739" s="13" t="s">
        <v>155</v>
      </c>
      <c r="P739" s="13" t="s">
        <v>155</v>
      </c>
      <c r="Q739" s="13" t="s">
        <v>155</v>
      </c>
      <c r="R739" s="37" t="s">
        <v>154</v>
      </c>
      <c r="S739" s="15"/>
    </row>
    <row r="740" spans="1:19" x14ac:dyDescent="0.3">
      <c r="A740" s="29" t="e">
        <f>IF(C740="","",MAX($A$2:A739)+1)</f>
        <v>#REF!</v>
      </c>
      <c r="B740" s="41" t="s">
        <v>36</v>
      </c>
      <c r="C740" s="33">
        <v>46110</v>
      </c>
      <c r="D740" s="34" t="str">
        <f>_xlfn.XLOOKUP([1]!Table134526_79101120212223242526[[#This Row],[Name Surname]],[1]Manpower!$C$4:$C$1048576,[1]Manpower!$B$4:$B$1048576,"")</f>
        <v>Encogroup</v>
      </c>
      <c r="E740" s="34" t="s">
        <v>31</v>
      </c>
      <c r="F740" s="4">
        <f>_xlfn.XLOOKUP([1]!Table134526_79101120212223242526[[#This Row],[Name Surname]],[1]Manpower!C:C,[1]Manpower!D:D,)</f>
        <v>140697025</v>
      </c>
      <c r="G740" s="34" t="str">
        <f>_xlfn.XLOOKUP([1]!Table134526_79101120212223242526[[#This Row],[Name Surname]],[1]Manpower!$C$4:$C$1048576,[1]Manpower!$F$4:$F$1048576,"")</f>
        <v>Assistant/Helper</v>
      </c>
      <c r="H740" s="34" t="str">
        <f>_xlfn.XLOOKUP([1]!Table134526_79101120212223242526[[#This Row],[Name Surname]],[1]Manpower!$C$4:$C$1048576,[1]Manpower!$H$4:$H$1048576,"")</f>
        <v>Manpower</v>
      </c>
      <c r="I740" s="5" t="str">
        <f>_xlfn.XLOOKUP([1]!Table134526_79101120212223242526[[#This Row],[Name Surname]],[1]Manpower!$C$4:$C$1048576,[1]Manpower!$H$4:$H$1048576,"")</f>
        <v>Manpower</v>
      </c>
      <c r="J740" s="5" t="s">
        <v>23</v>
      </c>
      <c r="K740" s="34" t="s">
        <v>153</v>
      </c>
      <c r="L740" s="34" t="s">
        <v>25</v>
      </c>
      <c r="M740" s="34" t="s">
        <v>5</v>
      </c>
      <c r="N740" s="35">
        <v>10</v>
      </c>
      <c r="O740" s="5" t="s">
        <v>11</v>
      </c>
      <c r="P740" s="5" t="s">
        <v>12</v>
      </c>
      <c r="Q740" s="5" t="s">
        <v>13</v>
      </c>
      <c r="R740" s="34" t="s">
        <v>154</v>
      </c>
      <c r="S740" s="8"/>
    </row>
    <row r="741" spans="1:19" x14ac:dyDescent="0.3">
      <c r="A741" s="28" t="e">
        <f>IF(C741="","",MAX($A$2:A740)+1)</f>
        <v>#REF!</v>
      </c>
      <c r="B741" s="41" t="s">
        <v>36</v>
      </c>
      <c r="C741" s="36">
        <v>46110</v>
      </c>
      <c r="D741" s="37" t="str">
        <f>_xlfn.XLOOKUP([1]!Table134526_79101120212223242526[[#This Row],[Name Surname]],[1]Manpower!$C$4:$C$1048576,[1]Manpower!$B$4:$B$1048576,"")</f>
        <v>Encogroup</v>
      </c>
      <c r="E741" s="37" t="s">
        <v>41</v>
      </c>
      <c r="F741" s="12">
        <f>_xlfn.XLOOKUP([1]!Table134526_79101120212223242526[[#This Row],[Name Surname]],[1]Manpower!C:C,[1]Manpower!D:D,)</f>
        <v>141169052</v>
      </c>
      <c r="G741" s="37" t="str">
        <f>_xlfn.XLOOKUP([1]!Table134526_79101120212223242526[[#This Row],[Name Surname]],[1]Manpower!$C$4:$C$1048576,[1]Manpower!$F$4:$F$1048576,"")</f>
        <v>Welder</v>
      </c>
      <c r="H741" s="37" t="str">
        <f>_xlfn.XLOOKUP([1]!Table134526_79101120212223242526[[#This Row],[Name Surname]],[1]Manpower!$C$4:$C$1048576,[1]Manpower!$H$4:$H$1048576,"")</f>
        <v>Manpower</v>
      </c>
      <c r="I741" s="13" t="str">
        <f>_xlfn.XLOOKUP([1]!Table134526_79101120212223242526[[#This Row],[Name Surname]],[1]Manpower!$C$4:$C$1048576,[1]Manpower!$H$4:$H$1048576,"")</f>
        <v>Manpower</v>
      </c>
      <c r="J741" s="13" t="s">
        <v>23</v>
      </c>
      <c r="K741" s="37" t="s">
        <v>153</v>
      </c>
      <c r="L741" s="37" t="s">
        <v>25</v>
      </c>
      <c r="M741" s="37" t="s">
        <v>5</v>
      </c>
      <c r="N741" s="38">
        <v>10</v>
      </c>
      <c r="O741" s="13" t="s">
        <v>11</v>
      </c>
      <c r="P741" s="13" t="s">
        <v>12</v>
      </c>
      <c r="Q741" s="13" t="s">
        <v>13</v>
      </c>
      <c r="R741" s="37" t="s">
        <v>154</v>
      </c>
      <c r="S741" s="15"/>
    </row>
    <row r="742" spans="1:19" x14ac:dyDescent="0.3">
      <c r="A742" s="29" t="e">
        <f>IF(C742="","",MAX($A$2:A741)+1)</f>
        <v>#REF!</v>
      </c>
      <c r="B742" s="41" t="s">
        <v>36</v>
      </c>
      <c r="C742" s="33">
        <v>46110</v>
      </c>
      <c r="D742" s="5" t="str">
        <f>_xlfn.XLOOKUP([1]!Table134526_79101120212223242526[[#This Row],[Name Surname]],[1]Manpower!$C$4:$C$1048576,[1]Manpower!$B$4:$B$1048576,"")</f>
        <v>Encogroup</v>
      </c>
      <c r="E742" s="5" t="s">
        <v>32</v>
      </c>
      <c r="F742" s="4">
        <f>_xlfn.XLOOKUP([1]!Table134526_79101120212223242526[[#This Row],[Name Surname]],[1]Manpower!C:C,[1]Manpower!D:D,)</f>
        <v>141365075</v>
      </c>
      <c r="G742" s="5" t="str">
        <f>_xlfn.XLOOKUP([1]!Table134526_79101120212223242526[[#This Row],[Name Surname]],[1]Manpower!$C$4:$C$1048576,[1]Manpower!$F$4:$F$1048576,"")</f>
        <v>Helper</v>
      </c>
      <c r="H742" s="5" t="str">
        <f>_xlfn.XLOOKUP([1]!Table134526_79101120212223242526[[#This Row],[Name Surname]],[1]Manpower!$C$4:$C$1048576,[1]Manpower!$H$4:$H$1048576,"")</f>
        <v>Manpower</v>
      </c>
      <c r="I742" s="5" t="str">
        <f>_xlfn.XLOOKUP([1]!Table134526_79101120212223242526[[#This Row],[Name Surname]],[1]Manpower!$C$4:$C$1048576,[1]Manpower!$H$4:$H$1048576,"")</f>
        <v>Manpower</v>
      </c>
      <c r="J742" s="5" t="s">
        <v>23</v>
      </c>
      <c r="K742" s="34" t="s">
        <v>153</v>
      </c>
      <c r="L742" s="34" t="s">
        <v>25</v>
      </c>
      <c r="M742" s="34" t="s">
        <v>5</v>
      </c>
      <c r="N742" s="35">
        <v>10</v>
      </c>
      <c r="O742" s="5" t="s">
        <v>33</v>
      </c>
      <c r="P742" s="5" t="s">
        <v>33</v>
      </c>
      <c r="Q742" s="5" t="s">
        <v>33</v>
      </c>
      <c r="R742" s="34" t="s">
        <v>154</v>
      </c>
      <c r="S742" s="8"/>
    </row>
    <row r="743" spans="1:19" x14ac:dyDescent="0.3">
      <c r="A743" s="28" t="e">
        <f>IF(C743="","",MAX($A$2:A742)+1)</f>
        <v>#REF!</v>
      </c>
      <c r="B743" s="41" t="s">
        <v>36</v>
      </c>
      <c r="C743" s="36">
        <v>46110</v>
      </c>
      <c r="D743" s="37" t="str">
        <f>_xlfn.XLOOKUP([1]!Table134526_79101120212223242526[[#This Row],[Name Surname]],[1]Manpower!$C$4:$C$1048576,[1]Manpower!$B$4:$B$1048576,"")</f>
        <v>SARENS NASS</v>
      </c>
      <c r="E743" s="37" t="s">
        <v>34</v>
      </c>
      <c r="F743" s="12">
        <f>_xlfn.XLOOKUP([1]!Table134526_79101120212223242526[[#This Row],[Name Surname]],[1]Manpower!C:C,[1]Manpower!D:D,)</f>
        <v>79502392</v>
      </c>
      <c r="G743" s="37" t="str">
        <f>_xlfn.XLOOKUP([1]!Table134526_79101120212223242526[[#This Row],[Name Surname]],[1]Manpower!$C$4:$C$1048576,[1]Manpower!$F$4:$F$1048576,"")</f>
        <v>Crane Operator- 70T Liebherr Telescopic Crane-01</v>
      </c>
      <c r="H743" s="37" t="str">
        <f>_xlfn.XLOOKUP([1]!Table134526_79101120212223242526[[#This Row],[Name Surname]],[1]Manpower!$C$4:$C$1048576,[1]Manpower!$H$4:$H$1048576,"")</f>
        <v>Manpower</v>
      </c>
      <c r="I743" s="13" t="str">
        <f>_xlfn.XLOOKUP([1]!Table134526_79101120212223242526[[#This Row],[Name Surname]],[1]Manpower!$C$4:$C$1048576,[1]Manpower!$H$4:$H$1048576,"")</f>
        <v>Manpower</v>
      </c>
      <c r="J743" s="13" t="s">
        <v>23</v>
      </c>
      <c r="K743" s="37" t="s">
        <v>153</v>
      </c>
      <c r="L743" s="37" t="s">
        <v>25</v>
      </c>
      <c r="M743" s="37" t="s">
        <v>5</v>
      </c>
      <c r="N743" s="38">
        <v>10</v>
      </c>
      <c r="O743" s="13" t="s">
        <v>35</v>
      </c>
      <c r="P743" s="13" t="s">
        <v>35</v>
      </c>
      <c r="Q743" s="13" t="s">
        <v>35</v>
      </c>
      <c r="R743" s="37" t="s">
        <v>154</v>
      </c>
      <c r="S743" s="15"/>
    </row>
    <row r="744" spans="1:19" x14ac:dyDescent="0.3">
      <c r="A744" s="29" t="e">
        <f>IF(C744="","",MAX($A$2:A743)+1)</f>
        <v>#REF!</v>
      </c>
      <c r="B744" s="41" t="s">
        <v>36</v>
      </c>
      <c r="C744" s="33">
        <v>46110</v>
      </c>
      <c r="D744" s="34" t="str">
        <f>_xlfn.XLOOKUP([1]!Table134526_79101120212223242526[[#This Row],[Name Surname]],[1]Manpower!$C$4:$C$1048576,[1]Manpower!$B$4:$B$1048576,"")</f>
        <v>Encogroup</v>
      </c>
      <c r="E744" s="34" t="s">
        <v>120</v>
      </c>
      <c r="F744" s="4">
        <f>_xlfn.XLOOKUP([1]!Table134526_79101120212223242526[[#This Row],[Name Surname]],[1]Manpower!C:C,[1]Manpower!D:D,)</f>
        <v>141358993</v>
      </c>
      <c r="G744" s="34" t="str">
        <f>_xlfn.XLOOKUP([1]!Table134526_79101120212223242526[[#This Row],[Name Surname]],[1]Manpower!$C$4:$C$1048576,[1]Manpower!$F$4:$F$1048576,"")</f>
        <v>Fitter</v>
      </c>
      <c r="H744" s="34" t="str">
        <f>_xlfn.XLOOKUP([1]!Table134526_79101120212223242526[[#This Row],[Name Surname]],[1]Manpower!$C$4:$C$1048576,[1]Manpower!$H$4:$H$1048576,"")</f>
        <v>Manpower</v>
      </c>
      <c r="I744" s="5" t="str">
        <f>_xlfn.XLOOKUP([1]!Table134526_79101120212223242526[[#This Row],[Name Surname]],[1]Manpower!$C$4:$C$1048576,[1]Manpower!$H$4:$H$1048576,"")</f>
        <v>Manpower</v>
      </c>
      <c r="J744" s="5" t="s">
        <v>23</v>
      </c>
      <c r="K744" s="34" t="s">
        <v>153</v>
      </c>
      <c r="L744" s="34" t="s">
        <v>25</v>
      </c>
      <c r="M744" s="34" t="s">
        <v>5</v>
      </c>
      <c r="N744" s="35">
        <v>10</v>
      </c>
      <c r="O744" s="5" t="s">
        <v>35</v>
      </c>
      <c r="P744" s="5" t="s">
        <v>35</v>
      </c>
      <c r="Q744" s="5" t="s">
        <v>35</v>
      </c>
      <c r="R744" s="34" t="s">
        <v>154</v>
      </c>
      <c r="S744" s="8"/>
    </row>
    <row r="745" spans="1:19" x14ac:dyDescent="0.3">
      <c r="A745" s="28" t="e">
        <f>IF(C745="","",MAX($A$2:A744)+1)</f>
        <v>#REF!</v>
      </c>
      <c r="B745" s="41" t="s">
        <v>36</v>
      </c>
      <c r="C745" s="36">
        <v>46110</v>
      </c>
      <c r="D745" s="37" t="str">
        <f>_xlfn.XLOOKUP([1]!Table134526_79101120212223242526[[#This Row],[Name Surname]],[1]Manpower!$C$4:$C$1048576,[1]Manpower!$B$4:$B$1048576,"")</f>
        <v>Encogroup</v>
      </c>
      <c r="E745" s="37" t="s">
        <v>43</v>
      </c>
      <c r="F745" s="12" t="str">
        <f>_xlfn.XLOOKUP([1]!Table134526_79101120212223242526[[#This Row],[Name Surname]],[1]Manpower!C:C,[1]Manpower!D:D,)</f>
        <v>R3971143</v>
      </c>
      <c r="G745" s="37" t="str">
        <f>_xlfn.XLOOKUP([1]!Table134526_79101120212223242526[[#This Row],[Name Surname]],[1]Manpower!$C$4:$C$1048576,[1]Manpower!$F$4:$F$1048576,"")</f>
        <v>Mechanical Foreman</v>
      </c>
      <c r="H745" s="37" t="str">
        <f>_xlfn.XLOOKUP([1]!Table134526_79101120212223242526[[#This Row],[Name Surname]],[1]Manpower!$C$4:$C$1048576,[1]Manpower!$H$4:$H$1048576,"")</f>
        <v>Manpower</v>
      </c>
      <c r="I745" s="13" t="str">
        <f>_xlfn.XLOOKUP([1]!Table134526_79101120212223242526[[#This Row],[Name Surname]],[1]Manpower!$C$4:$C$1048576,[1]Manpower!$H$4:$H$1048576,"")</f>
        <v>Manpower</v>
      </c>
      <c r="J745" s="13" t="s">
        <v>38</v>
      </c>
      <c r="K745" s="37" t="s">
        <v>7</v>
      </c>
      <c r="L745" s="37" t="s">
        <v>156</v>
      </c>
      <c r="M745" s="37" t="s">
        <v>5</v>
      </c>
      <c r="N745" s="38">
        <v>10</v>
      </c>
      <c r="O745" s="13" t="s">
        <v>11</v>
      </c>
      <c r="P745" s="13" t="s">
        <v>13</v>
      </c>
      <c r="Q745" s="13" t="s">
        <v>13</v>
      </c>
      <c r="R745" s="37" t="s">
        <v>157</v>
      </c>
      <c r="S745" s="15"/>
    </row>
    <row r="746" spans="1:19" x14ac:dyDescent="0.3">
      <c r="A746" s="29" t="e">
        <f>IF(C746="","",MAX($A$2:A745)+1)</f>
        <v>#REF!</v>
      </c>
      <c r="B746" s="41" t="s">
        <v>36</v>
      </c>
      <c r="C746" s="33">
        <v>46110</v>
      </c>
      <c r="D746" s="5" t="str">
        <f>_xlfn.XLOOKUP([1]!Table134526_79101120212223242526[[#This Row],[Name Surname]],[1]Manpower!$C$4:$C$1048576,[1]Manpower!$B$4:$B$1048576,"")</f>
        <v>Encogroup</v>
      </c>
      <c r="E746" s="5" t="s">
        <v>1</v>
      </c>
      <c r="F746" s="4">
        <f>_xlfn.XLOOKUP([1]!Table134526_79101120212223242526[[#This Row],[Name Surname]],[1]Manpower!C:C,[1]Manpower!D:D,)</f>
        <v>116858297</v>
      </c>
      <c r="G746" s="5" t="str">
        <f>_xlfn.XLOOKUP([1]!Table134526_79101120212223242526[[#This Row],[Name Surname]],[1]Manpower!$C$4:$C$1048576,[1]Manpower!$F$4:$F$1048576,"")</f>
        <v>Mechanical Superintendent</v>
      </c>
      <c r="H746" s="5" t="str">
        <f>_xlfn.XLOOKUP([1]!Table134526_79101120212223242526[[#This Row],[Name Surname]],[1]Manpower!$C$4:$C$1048576,[1]Manpower!$H$4:$H$1048576,"")</f>
        <v>Manpower</v>
      </c>
      <c r="I746" s="5" t="str">
        <f>_xlfn.XLOOKUP([1]!Table134526_79101120212223242526[[#This Row],[Name Surname]],[1]Manpower!$C$4:$C$1048576,[1]Manpower!$H$4:$H$1048576,"")</f>
        <v>Manpower</v>
      </c>
      <c r="J746" s="5" t="s">
        <v>38</v>
      </c>
      <c r="K746" s="5"/>
      <c r="L746" s="34" t="s">
        <v>156</v>
      </c>
      <c r="M746" s="34" t="s">
        <v>5</v>
      </c>
      <c r="N746" s="35">
        <v>10</v>
      </c>
      <c r="O746" s="5" t="s">
        <v>11</v>
      </c>
      <c r="P746" s="5" t="s">
        <v>13</v>
      </c>
      <c r="Q746" s="5" t="s">
        <v>13</v>
      </c>
      <c r="R746" s="34" t="s">
        <v>157</v>
      </c>
      <c r="S746" s="8"/>
    </row>
    <row r="747" spans="1:19" x14ac:dyDescent="0.3">
      <c r="A747" s="28" t="e">
        <f>IF(C747="","",MAX($A$2:A746)+1)</f>
        <v>#REF!</v>
      </c>
      <c r="B747" s="41" t="s">
        <v>36</v>
      </c>
      <c r="C747" s="36">
        <v>46110</v>
      </c>
      <c r="D747" s="13" t="str">
        <f>_xlfn.XLOOKUP([1]!Table134526_79101120212223242526[[#This Row],[Name Surname]],[1]Manpower!$C$4:$C$1048576,[1]Manpower!$B$4:$B$1048576,"")</f>
        <v>Encogroup</v>
      </c>
      <c r="E747" s="13" t="s">
        <v>158</v>
      </c>
      <c r="F747" s="12">
        <f>_xlfn.XLOOKUP([1]!Table134526_79101120212223242526[[#This Row],[Name Surname]],[1]Manpower!C:C,[1]Manpower!D:D,)</f>
        <v>123805496</v>
      </c>
      <c r="G747" s="13" t="str">
        <f>_xlfn.XLOOKUP([1]!Table134526_79101120212223242526[[#This Row],[Name Surname]],[1]Manpower!$C$4:$C$1048576,[1]Manpower!$F$4:$F$1048576,"")</f>
        <v>Fitter/Erector</v>
      </c>
      <c r="H747" s="13" t="str">
        <f>_xlfn.XLOOKUP([1]!Table134526_79101120212223242526[[#This Row],[Name Surname]],[1]Manpower!$C$4:$C$1048576,[1]Manpower!$H$4:$H$1048576,"")</f>
        <v>Manpower</v>
      </c>
      <c r="I747" s="13" t="str">
        <f>_xlfn.XLOOKUP([1]!Table134526_79101120212223242526[[#This Row],[Name Surname]],[1]Manpower!$C$4:$C$1048576,[1]Manpower!$H$4:$H$1048576,"")</f>
        <v>Manpower</v>
      </c>
      <c r="J747" s="13" t="s">
        <v>38</v>
      </c>
      <c r="K747" s="13"/>
      <c r="L747" s="13" t="s">
        <v>39</v>
      </c>
      <c r="M747" s="13" t="s">
        <v>18</v>
      </c>
      <c r="N747" s="14">
        <v>10</v>
      </c>
      <c r="O747" s="13"/>
      <c r="P747" s="13"/>
      <c r="Q747" s="13"/>
      <c r="R747" s="13" t="s">
        <v>159</v>
      </c>
      <c r="S747" s="15"/>
    </row>
    <row r="748" spans="1:19" x14ac:dyDescent="0.3">
      <c r="A748" s="29" t="e">
        <f>IF(C748="","",MAX($A$2:A746)+1)</f>
        <v>#REF!</v>
      </c>
      <c r="B748" s="41" t="s">
        <v>36</v>
      </c>
      <c r="C748" s="33">
        <v>46110</v>
      </c>
      <c r="D748" s="34" t="str">
        <f>_xlfn.XLOOKUP([1]!Table134526_79101120212223242526[[#This Row],[Name Surname]],[1]Manpower!$C$4:$C$1048576,[1]Manpower!$B$4:$B$1048576,"")</f>
        <v>Encogroup</v>
      </c>
      <c r="E748" s="34" t="s">
        <v>37</v>
      </c>
      <c r="F748" s="4">
        <f>_xlfn.XLOOKUP([1]!Table134526_79101120212223242526[[#This Row],[Name Surname]],[1]Manpower!C:C,[1]Manpower!D:D,)</f>
        <v>136277866</v>
      </c>
      <c r="G748" s="34" t="str">
        <f>_xlfn.XLOOKUP([1]!Table134526_79101120212223242526[[#This Row],[Name Surname]],[1]Manpower!$C$4:$C$1048576,[1]Manpower!$F$4:$F$1048576,"")</f>
        <v>Permit Receiver</v>
      </c>
      <c r="H748" s="34" t="str">
        <f>_xlfn.XLOOKUP([1]!Table134526_79101120212223242526[[#This Row],[Name Surname]],[1]Manpower!$C$4:$C$1048576,[1]Manpower!$H$4:$H$1048576,"")</f>
        <v>Manpower</v>
      </c>
      <c r="I748" s="5" t="str">
        <f>_xlfn.XLOOKUP([1]!Table134526_79101120212223242526[[#This Row],[Name Surname]],[1]Manpower!$C$4:$C$1048576,[1]Manpower!$H$4:$H$1048576,"")</f>
        <v>Manpower</v>
      </c>
      <c r="J748" s="5" t="s">
        <v>38</v>
      </c>
      <c r="K748" s="34" t="s">
        <v>7</v>
      </c>
      <c r="L748" s="34" t="s">
        <v>156</v>
      </c>
      <c r="M748" s="34" t="s">
        <v>5</v>
      </c>
      <c r="N748" s="35">
        <v>10</v>
      </c>
      <c r="O748" s="5" t="s">
        <v>11</v>
      </c>
      <c r="P748" s="5" t="s">
        <v>13</v>
      </c>
      <c r="Q748" s="5" t="s">
        <v>13</v>
      </c>
      <c r="R748" s="34" t="s">
        <v>157</v>
      </c>
      <c r="S748" s="8"/>
    </row>
    <row r="749" spans="1:19" x14ac:dyDescent="0.3">
      <c r="A749" s="28" t="e">
        <f>IF(C749="","",MAX($A$2:A748)+1)</f>
        <v>#REF!</v>
      </c>
      <c r="B749" s="41" t="s">
        <v>36</v>
      </c>
      <c r="C749" s="36">
        <v>46110</v>
      </c>
      <c r="D749" s="13" t="str">
        <f>_xlfn.XLOOKUP([1]!Table134526_79101120212223242526[[#This Row],[Name Surname]],[1]Manpower!$C$4:$C$1048576,[1]Manpower!$B$4:$B$1048576,"")</f>
        <v>Encogroup</v>
      </c>
      <c r="E749" s="13" t="s">
        <v>40</v>
      </c>
      <c r="F749" s="12">
        <f>_xlfn.XLOOKUP([1]!Table134526_79101120212223242526[[#This Row],[Name Surname]],[1]Manpower!C:C,[1]Manpower!D:D,)</f>
        <v>120653364</v>
      </c>
      <c r="G749" s="13" t="str">
        <f>_xlfn.XLOOKUP([1]!Table134526_79101120212223242526[[#This Row],[Name Surname]],[1]Manpower!$C$4:$C$1048576,[1]Manpower!$F$4:$F$1048576,"")</f>
        <v>Surveyor</v>
      </c>
      <c r="H749" s="13" t="str">
        <f>_xlfn.XLOOKUP([1]!Table134526_79101120212223242526[[#This Row],[Name Surname]],[1]Manpower!$C$4:$C$1048576,[1]Manpower!$H$4:$H$1048576,"")</f>
        <v>Manpower</v>
      </c>
      <c r="I749" s="13" t="str">
        <f>_xlfn.XLOOKUP([1]!Table134526_79101120212223242526[[#This Row],[Name Surname]],[1]Manpower!$C$4:$C$1048576,[1]Manpower!$H$4:$H$1048576,"")</f>
        <v>Manpower</v>
      </c>
      <c r="J749" s="13" t="s">
        <v>38</v>
      </c>
      <c r="K749" s="37" t="s">
        <v>7</v>
      </c>
      <c r="L749" s="37" t="s">
        <v>156</v>
      </c>
      <c r="M749" s="37" t="s">
        <v>5</v>
      </c>
      <c r="N749" s="38">
        <v>10</v>
      </c>
      <c r="O749" s="13" t="s">
        <v>11</v>
      </c>
      <c r="P749" s="13" t="s">
        <v>13</v>
      </c>
      <c r="Q749" s="13" t="s">
        <v>13</v>
      </c>
      <c r="R749" s="37" t="s">
        <v>157</v>
      </c>
      <c r="S749" s="15"/>
    </row>
    <row r="750" spans="1:19" x14ac:dyDescent="0.3">
      <c r="A750" s="29" t="e">
        <f>IF(C750="","",MAX($A$2:A749)+1)</f>
        <v>#REF!</v>
      </c>
      <c r="B750" s="41" t="s">
        <v>36</v>
      </c>
      <c r="C750" s="33">
        <v>46110</v>
      </c>
      <c r="D750" s="34" t="str">
        <f>_xlfn.XLOOKUP([1]!Table134526_79101120212223242526[[#This Row],[Name Surname]],[1]Manpower!$C$4:$C$1048576,[1]Manpower!$B$4:$B$1048576,"")</f>
        <v>Encogroup</v>
      </c>
      <c r="E750" s="34" t="s">
        <v>45</v>
      </c>
      <c r="F750" s="4">
        <f>_xlfn.XLOOKUP([1]!Table134526_79101120212223242526[[#This Row],[Name Surname]],[1]Manpower!C:C,[1]Manpower!D:D,)</f>
        <v>140663253</v>
      </c>
      <c r="G750" s="34" t="str">
        <f>_xlfn.XLOOKUP([1]!Table134526_79101120212223242526[[#This Row],[Name Surname]],[1]Manpower!$C$4:$C$1048576,[1]Manpower!$F$4:$F$1048576,"")</f>
        <v>Painting Inspector</v>
      </c>
      <c r="H750" s="34" t="str">
        <f>_xlfn.XLOOKUP([1]!Table134526_79101120212223242526[[#This Row],[Name Surname]],[1]Manpower!$C$4:$C$1048576,[1]Manpower!$H$4:$H$1048576,"")</f>
        <v>Manpower</v>
      </c>
      <c r="I750" s="5" t="str">
        <f>_xlfn.XLOOKUP([1]!Table134526_79101120212223242526[[#This Row],[Name Surname]],[1]Manpower!$C$4:$C$1048576,[1]Manpower!$H$4:$H$1048576,"")</f>
        <v>Manpower</v>
      </c>
      <c r="J750" s="5" t="s">
        <v>38</v>
      </c>
      <c r="K750" s="34" t="s">
        <v>7</v>
      </c>
      <c r="L750" s="34" t="s">
        <v>156</v>
      </c>
      <c r="M750" s="34" t="s">
        <v>5</v>
      </c>
      <c r="N750" s="35">
        <v>10</v>
      </c>
      <c r="O750" s="5" t="s">
        <v>11</v>
      </c>
      <c r="P750" s="5" t="s">
        <v>13</v>
      </c>
      <c r="Q750" s="5" t="s">
        <v>13</v>
      </c>
      <c r="R750" s="34" t="s">
        <v>157</v>
      </c>
      <c r="S750" s="8"/>
    </row>
    <row r="751" spans="1:19" x14ac:dyDescent="0.3">
      <c r="A751" s="28" t="e">
        <f>IF(C751="","",MAX($A$2:A750)+1)</f>
        <v>#REF!</v>
      </c>
      <c r="B751" s="41" t="s">
        <v>36</v>
      </c>
      <c r="C751" s="36">
        <v>46110</v>
      </c>
      <c r="D751" s="37" t="str">
        <f>_xlfn.XLOOKUP([1]!Table134526_79101120212223242526[[#This Row],[Name Surname]],[1]Manpower!$C$4:$C$1048576,[1]Manpower!$B$4:$B$1048576,"")</f>
        <v>Encogroup</v>
      </c>
      <c r="E751" s="37" t="s">
        <v>48</v>
      </c>
      <c r="F751" s="12">
        <f>_xlfn.XLOOKUP([1]!Table134526_79101120212223242526[[#This Row],[Name Surname]],[1]Manpower!C:C,[1]Manpower!D:D,)</f>
        <v>140844604</v>
      </c>
      <c r="G751" s="37" t="str">
        <f>_xlfn.XLOOKUP([1]!Table134526_79101120212223242526[[#This Row],[Name Surname]],[1]Manpower!$C$4:$C$1048576,[1]Manpower!$F$4:$F$1048576,"")</f>
        <v>Painter</v>
      </c>
      <c r="H751" s="37" t="str">
        <f>_xlfn.XLOOKUP([1]!Table134526_79101120212223242526[[#This Row],[Name Surname]],[1]Manpower!$C$4:$C$1048576,[1]Manpower!$H$4:$H$1048576,"")</f>
        <v>Manpower</v>
      </c>
      <c r="I751" s="13" t="str">
        <f>_xlfn.XLOOKUP([1]!Table134526_79101120212223242526[[#This Row],[Name Surname]],[1]Manpower!$C$4:$C$1048576,[1]Manpower!$H$4:$H$1048576,"")</f>
        <v>Manpower</v>
      </c>
      <c r="J751" s="13" t="s">
        <v>38</v>
      </c>
      <c r="K751" s="37" t="s">
        <v>7</v>
      </c>
      <c r="L751" s="37" t="s">
        <v>156</v>
      </c>
      <c r="M751" s="37" t="s">
        <v>5</v>
      </c>
      <c r="N751" s="38">
        <v>10</v>
      </c>
      <c r="O751" s="13" t="s">
        <v>11</v>
      </c>
      <c r="P751" s="13" t="s">
        <v>13</v>
      </c>
      <c r="Q751" s="13" t="s">
        <v>13</v>
      </c>
      <c r="R751" s="37" t="s">
        <v>157</v>
      </c>
      <c r="S751" s="15"/>
    </row>
    <row r="752" spans="1:19" x14ac:dyDescent="0.3">
      <c r="A752" s="29" t="e">
        <f>IF(C752="","",MAX($A$2:A751)+1)</f>
        <v>#REF!</v>
      </c>
      <c r="B752" s="41" t="s">
        <v>36</v>
      </c>
      <c r="C752" s="33">
        <v>46110</v>
      </c>
      <c r="D752" s="34" t="str">
        <f>_xlfn.XLOOKUP([1]!Table134526_79101120212223242526[[#This Row],[Name Surname]],[1]Manpower!$C$4:$C$1048576,[1]Manpower!$B$4:$B$1048576,"")</f>
        <v>Encogroup</v>
      </c>
      <c r="E752" s="34" t="s">
        <v>49</v>
      </c>
      <c r="F752" s="4">
        <f>_xlfn.XLOOKUP([1]!Table134526_79101120212223242526[[#This Row],[Name Surname]],[1]Manpower!C:C,[1]Manpower!D:D,)</f>
        <v>140844783</v>
      </c>
      <c r="G752" s="34" t="str">
        <f>_xlfn.XLOOKUP([1]!Table134526_79101120212223242526[[#This Row],[Name Surname]],[1]Manpower!$C$4:$C$1048576,[1]Manpower!$F$4:$F$1048576,"")</f>
        <v>Painter</v>
      </c>
      <c r="H752" s="34" t="str">
        <f>_xlfn.XLOOKUP([1]!Table134526_79101120212223242526[[#This Row],[Name Surname]],[1]Manpower!$C$4:$C$1048576,[1]Manpower!$H$4:$H$1048576,"")</f>
        <v>Manpower</v>
      </c>
      <c r="I752" s="5" t="str">
        <f>_xlfn.XLOOKUP([1]!Table134526_79101120212223242526[[#This Row],[Name Surname]],[1]Manpower!$C$4:$C$1048576,[1]Manpower!$H$4:$H$1048576,"")</f>
        <v>Manpower</v>
      </c>
      <c r="J752" s="5" t="s">
        <v>38</v>
      </c>
      <c r="K752" s="34" t="s">
        <v>7</v>
      </c>
      <c r="L752" s="34" t="s">
        <v>156</v>
      </c>
      <c r="M752" s="34" t="s">
        <v>5</v>
      </c>
      <c r="N752" s="35">
        <v>10</v>
      </c>
      <c r="O752" s="5" t="s">
        <v>11</v>
      </c>
      <c r="P752" s="5" t="s">
        <v>13</v>
      </c>
      <c r="Q752" s="5" t="s">
        <v>13</v>
      </c>
      <c r="R752" s="34" t="s">
        <v>157</v>
      </c>
      <c r="S752" s="8"/>
    </row>
    <row r="753" spans="1:19" x14ac:dyDescent="0.3">
      <c r="A753" s="28" t="e">
        <f>IF(C753="","",MAX($A$2:A752)+1)</f>
        <v>#REF!</v>
      </c>
      <c r="B753" s="41" t="s">
        <v>36</v>
      </c>
      <c r="C753" s="36">
        <v>46110</v>
      </c>
      <c r="D753" s="37" t="str">
        <f>_xlfn.XLOOKUP([1]!Table134526_79101120212223242526[[#This Row],[Name Surname]],[1]Manpower!$C$4:$C$1048576,[1]Manpower!$B$4:$B$1048576,"")</f>
        <v>Encogroup</v>
      </c>
      <c r="E753" s="37" t="s">
        <v>50</v>
      </c>
      <c r="F753" s="12" t="str">
        <f>_xlfn.XLOOKUP([1]!Table134526_79101120212223242526[[#This Row],[Name Surname]],[1]Manpower!C:C,[1]Manpower!D:D,)</f>
        <v>AG111207</v>
      </c>
      <c r="G753" s="37" t="str">
        <f>_xlfn.XLOOKUP([1]!Table134526_79101120212223242526[[#This Row],[Name Surname]],[1]Manpower!$C$4:$C$1048576,[1]Manpower!$F$4:$F$1048576,"")</f>
        <v>Assistant/Helper</v>
      </c>
      <c r="H753" s="37" t="str">
        <f>_xlfn.XLOOKUP([1]!Table134526_79101120212223242526[[#This Row],[Name Surname]],[1]Manpower!$C$4:$C$1048576,[1]Manpower!$H$4:$H$1048576,"")</f>
        <v>Manpower</v>
      </c>
      <c r="I753" s="13" t="str">
        <f>_xlfn.XLOOKUP([1]!Table134526_79101120212223242526[[#This Row],[Name Surname]],[1]Manpower!$C$4:$C$1048576,[1]Manpower!$H$4:$H$1048576,"")</f>
        <v>Manpower</v>
      </c>
      <c r="J753" s="13" t="s">
        <v>38</v>
      </c>
      <c r="K753" s="37" t="s">
        <v>7</v>
      </c>
      <c r="L753" s="37" t="s">
        <v>156</v>
      </c>
      <c r="M753" s="37" t="s">
        <v>5</v>
      </c>
      <c r="N753" s="38">
        <v>10</v>
      </c>
      <c r="O753" s="13" t="s">
        <v>11</v>
      </c>
      <c r="P753" s="13" t="s">
        <v>13</v>
      </c>
      <c r="Q753" s="13" t="s">
        <v>13</v>
      </c>
      <c r="R753" s="37" t="s">
        <v>157</v>
      </c>
      <c r="S753" s="15"/>
    </row>
    <row r="754" spans="1:19" x14ac:dyDescent="0.3">
      <c r="A754" s="29" t="e">
        <f>IF(C754="","",MAX($A$2:A753)+1)</f>
        <v>#REF!</v>
      </c>
      <c r="B754" s="41" t="s">
        <v>36</v>
      </c>
      <c r="C754" s="33">
        <v>46110</v>
      </c>
      <c r="D754" s="34" t="str">
        <f>_xlfn.XLOOKUP([1]!Table134526_79101120212223242526[[#This Row],[Name Surname]],[1]Manpower!$C$4:$C$1048576,[1]Manpower!$B$4:$B$1048576,"")</f>
        <v>Encogroup</v>
      </c>
      <c r="E754" s="3" t="s">
        <v>51</v>
      </c>
      <c r="F754" s="4">
        <f>_xlfn.XLOOKUP([1]!Table134526_79101120212223242526[[#This Row],[Name Surname]],[1]Manpower!C:C,[1]Manpower!D:D,)</f>
        <v>140844778</v>
      </c>
      <c r="G754" s="34" t="str">
        <f>_xlfn.XLOOKUP([1]!Table134526_79101120212223242526[[#This Row],[Name Surname]],[1]Manpower!$C$4:$C$1048576,[1]Manpower!$F$4:$F$1048576,"")</f>
        <v>Painter</v>
      </c>
      <c r="H754" s="34" t="str">
        <f>_xlfn.XLOOKUP([1]!Table134526_79101120212223242526[[#This Row],[Name Surname]],[1]Manpower!$C$4:$C$1048576,[1]Manpower!$H$4:$H$1048576,"")</f>
        <v>Manpower</v>
      </c>
      <c r="I754" s="5" t="str">
        <f>_xlfn.XLOOKUP([1]!Table134526_79101120212223242526[[#This Row],[Name Surname]],[1]Manpower!$C$4:$C$1048576,[1]Manpower!$H$4:$H$1048576,"")</f>
        <v>Manpower</v>
      </c>
      <c r="J754" s="5" t="s">
        <v>38</v>
      </c>
      <c r="K754" s="34" t="s">
        <v>7</v>
      </c>
      <c r="L754" s="34" t="s">
        <v>156</v>
      </c>
      <c r="M754" s="34" t="s">
        <v>18</v>
      </c>
      <c r="N754" s="35">
        <v>10</v>
      </c>
      <c r="O754" s="5" t="s">
        <v>11</v>
      </c>
      <c r="P754" s="5" t="s">
        <v>13</v>
      </c>
      <c r="Q754" s="5" t="s">
        <v>13</v>
      </c>
      <c r="R754" s="34" t="s">
        <v>19</v>
      </c>
      <c r="S754" s="8"/>
    </row>
    <row r="755" spans="1:19" x14ac:dyDescent="0.3">
      <c r="A755" s="28" t="e">
        <f>IF(C755="","",MAX($A$2:A754)+1)</f>
        <v>#REF!</v>
      </c>
      <c r="B755" s="41" t="s">
        <v>36</v>
      </c>
      <c r="C755" s="36">
        <v>46110</v>
      </c>
      <c r="D755" s="37" t="str">
        <f>_xlfn.XLOOKUP([1]!Table134526_79101120212223242526[[#This Row],[Name Surname]],[1]Manpower!$C$4:$C$1048576,[1]Manpower!$B$4:$B$1048576,"")</f>
        <v>Encogroup</v>
      </c>
      <c r="E755" s="36" t="s">
        <v>52</v>
      </c>
      <c r="F755" s="12">
        <f>_xlfn.XLOOKUP([1]!Table134526_79101120212223242526[[#This Row],[Name Surname]],[1]Manpower!C:C,[1]Manpower!D:D,)</f>
        <v>141365037</v>
      </c>
      <c r="G755" s="37" t="str">
        <f>_xlfn.XLOOKUP([1]!Table134526_79101120212223242526[[#This Row],[Name Surname]],[1]Manpower!$C$4:$C$1048576,[1]Manpower!$F$4:$F$1048576,"")</f>
        <v>Painter</v>
      </c>
      <c r="H755" s="37" t="str">
        <f>_xlfn.XLOOKUP([1]!Table134526_79101120212223242526[[#This Row],[Name Surname]],[1]Manpower!$C$4:$C$1048576,[1]Manpower!$H$4:$H$1048576,"")</f>
        <v>Manpower</v>
      </c>
      <c r="I755" s="13" t="str">
        <f>_xlfn.XLOOKUP([1]!Table134526_79101120212223242526[[#This Row],[Name Surname]],[1]Manpower!$C$4:$C$1048576,[1]Manpower!$H$4:$H$1048576,"")</f>
        <v>Manpower</v>
      </c>
      <c r="J755" s="13" t="s">
        <v>38</v>
      </c>
      <c r="K755" s="37" t="s">
        <v>7</v>
      </c>
      <c r="L755" s="37" t="s">
        <v>156</v>
      </c>
      <c r="M755" s="37" t="s">
        <v>5</v>
      </c>
      <c r="N755" s="38">
        <v>10</v>
      </c>
      <c r="O755" s="37"/>
      <c r="P755" s="37"/>
      <c r="Q755" s="37"/>
      <c r="R755" s="37" t="s">
        <v>157</v>
      </c>
      <c r="S755" s="15"/>
    </row>
    <row r="756" spans="1:19" x14ac:dyDescent="0.3">
      <c r="A756" s="29" t="e">
        <f>IF(C756="","",MAX($A$2:A755)+1)</f>
        <v>#REF!</v>
      </c>
      <c r="B756" s="41" t="s">
        <v>36</v>
      </c>
      <c r="C756" s="33">
        <v>46110</v>
      </c>
      <c r="D756" s="34" t="str">
        <f>_xlfn.XLOOKUP([1]!Table134526_79101120212223242526[[#This Row],[Name Surname]],[1]Manpower!$C$4:$C$1048576,[1]Manpower!$B$4:$B$1048576,"")</f>
        <v>Encogroup</v>
      </c>
      <c r="E756" s="34" t="s">
        <v>53</v>
      </c>
      <c r="F756" s="4">
        <f>_xlfn.XLOOKUP([1]!Table134526_79101120212223242526[[#This Row],[Name Surname]],[1]Manpower!C:C,[1]Manpower!D:D,)</f>
        <v>141377709</v>
      </c>
      <c r="G756" s="34" t="str">
        <f>_xlfn.XLOOKUP([1]!Table134526_79101120212223242526[[#This Row],[Name Surname]],[1]Manpower!$C$4:$C$1048576,[1]Manpower!$F$4:$F$1048576,"")</f>
        <v>Helper</v>
      </c>
      <c r="H756" s="34" t="str">
        <f>_xlfn.XLOOKUP([1]!Table134526_79101120212223242526[[#This Row],[Name Surname]],[1]Manpower!$C$4:$C$1048576,[1]Manpower!$H$4:$H$1048576,"")</f>
        <v>Manpower</v>
      </c>
      <c r="I756" s="5" t="str">
        <f>_xlfn.XLOOKUP([1]!Table134526_79101120212223242526[[#This Row],[Name Surname]],[1]Manpower!$C$4:$C$1048576,[1]Manpower!$H$4:$H$1048576,"")</f>
        <v>Manpower</v>
      </c>
      <c r="J756" s="5" t="s">
        <v>38</v>
      </c>
      <c r="K756" s="34" t="s">
        <v>7</v>
      </c>
      <c r="L756" s="34" t="s">
        <v>156</v>
      </c>
      <c r="M756" s="34" t="s">
        <v>5</v>
      </c>
      <c r="N756" s="35">
        <v>10</v>
      </c>
      <c r="O756" s="34"/>
      <c r="P756" s="34"/>
      <c r="Q756" s="34"/>
      <c r="R756" s="34" t="s">
        <v>157</v>
      </c>
      <c r="S756" s="8"/>
    </row>
    <row r="757" spans="1:19" x14ac:dyDescent="0.3">
      <c r="A757" s="28" t="e">
        <f>IF(C757="","",MAX($A$2:A756)+1)</f>
        <v>#REF!</v>
      </c>
      <c r="B757" s="41" t="s">
        <v>36</v>
      </c>
      <c r="C757" s="36">
        <v>46110</v>
      </c>
      <c r="D757" s="37" t="str">
        <f>_xlfn.XLOOKUP([1]!Table134526_79101120212223242526[[#This Row],[Name Surname]],[1]Manpower!$C$4:$C$1048576,[1]Manpower!$B$4:$B$1048576,"")</f>
        <v>Encogroup</v>
      </c>
      <c r="E757" s="37" t="s">
        <v>54</v>
      </c>
      <c r="F757" s="12">
        <f>_xlfn.XLOOKUP([1]!Table134526_79101120212223242526[[#This Row],[Name Surname]],[1]Manpower!C:C,[1]Manpower!D:D,)</f>
        <v>140805554</v>
      </c>
      <c r="G757" s="37" t="str">
        <f>_xlfn.XLOOKUP([1]!Table134526_79101120212223242526[[#This Row],[Name Surname]],[1]Manpower!$C$4:$C$1048576,[1]Manpower!$F$4:$F$1048576,"")</f>
        <v>Assistant/Helper</v>
      </c>
      <c r="H757" s="37" t="str">
        <f>_xlfn.XLOOKUP([1]!Table134526_79101120212223242526[[#This Row],[Name Surname]],[1]Manpower!$C$4:$C$1048576,[1]Manpower!$H$4:$H$1048576,"")</f>
        <v>Manpower</v>
      </c>
      <c r="I757" s="13" t="str">
        <f>_xlfn.XLOOKUP([1]!Table134526_79101120212223242526[[#This Row],[Name Surname]],[1]Manpower!$C$4:$C$1048576,[1]Manpower!$H$4:$H$1048576,"")</f>
        <v>Manpower</v>
      </c>
      <c r="J757" s="13" t="s">
        <v>38</v>
      </c>
      <c r="K757" s="37" t="s">
        <v>7</v>
      </c>
      <c r="L757" s="37" t="s">
        <v>156</v>
      </c>
      <c r="M757" s="37" t="s">
        <v>5</v>
      </c>
      <c r="N757" s="38">
        <v>10</v>
      </c>
      <c r="O757" s="37"/>
      <c r="P757" s="37"/>
      <c r="Q757" s="37"/>
      <c r="R757" s="37" t="s">
        <v>157</v>
      </c>
      <c r="S757" s="15"/>
    </row>
    <row r="758" spans="1:19" x14ac:dyDescent="0.3">
      <c r="A758" s="29" t="e">
        <f>IF(C758="","",MAX($A$2:A757)+1)</f>
        <v>#REF!</v>
      </c>
      <c r="B758" s="41" t="s">
        <v>36</v>
      </c>
      <c r="C758" s="33">
        <v>46110</v>
      </c>
      <c r="D758" s="34" t="str">
        <f>_xlfn.XLOOKUP([1]!Table134526_79101120212223242526[[#This Row],[Name Surname]],[1]Manpower!$C$4:$C$1048576,[1]Manpower!$B$4:$B$1048576,"")</f>
        <v>Encogroup</v>
      </c>
      <c r="E758" s="34" t="s">
        <v>55</v>
      </c>
      <c r="F758" s="4">
        <f>_xlfn.XLOOKUP([1]!Table134526_79101120212223242526[[#This Row],[Name Surname]],[1]Manpower!C:C,[1]Manpower!D:D,)</f>
        <v>141169033</v>
      </c>
      <c r="G758" s="34" t="str">
        <f>_xlfn.XLOOKUP([1]!Table134526_79101120212223242526[[#This Row],[Name Surname]],[1]Manpower!$C$4:$C$1048576,[1]Manpower!$F$4:$F$1048576,"")</f>
        <v>Welder</v>
      </c>
      <c r="H758" s="34" t="str">
        <f>_xlfn.XLOOKUP([1]!Table134526_79101120212223242526[[#This Row],[Name Surname]],[1]Manpower!$C$4:$C$1048576,[1]Manpower!$H$4:$H$1048576,"")</f>
        <v>Manpower</v>
      </c>
      <c r="I758" s="5" t="str">
        <f>_xlfn.XLOOKUP([1]!Table134526_79101120212223242526[[#This Row],[Name Surname]],[1]Manpower!$C$4:$C$1048576,[1]Manpower!$H$4:$H$1048576,"")</f>
        <v>Manpower</v>
      </c>
      <c r="J758" s="5" t="s">
        <v>38</v>
      </c>
      <c r="K758" s="34" t="s">
        <v>7</v>
      </c>
      <c r="L758" s="34" t="s">
        <v>156</v>
      </c>
      <c r="M758" s="34" t="s">
        <v>5</v>
      </c>
      <c r="N758" s="35">
        <v>10</v>
      </c>
      <c r="O758" s="34"/>
      <c r="P758" s="34"/>
      <c r="Q758" s="34"/>
      <c r="R758" s="34" t="s">
        <v>157</v>
      </c>
      <c r="S758" s="8"/>
    </row>
    <row r="759" spans="1:19" x14ac:dyDescent="0.3">
      <c r="A759" s="28" t="e">
        <f>IF(C759="","",MAX($A$2:A758)+1)</f>
        <v>#REF!</v>
      </c>
      <c r="B759" s="41" t="s">
        <v>36</v>
      </c>
      <c r="C759" s="36">
        <v>46110</v>
      </c>
      <c r="D759" s="37" t="str">
        <f>_xlfn.XLOOKUP([1]!Table134526_79101120212223242526[[#This Row],[Name Surname]],[1]Manpower!$C$4:$C$1048576,[1]Manpower!$B$4:$B$1048576,"")</f>
        <v>Encogroup</v>
      </c>
      <c r="E759" s="37" t="s">
        <v>56</v>
      </c>
      <c r="F759" s="12">
        <f>_xlfn.XLOOKUP([1]!Table134526_79101120212223242526[[#This Row],[Name Surname]],[1]Manpower!C:C,[1]Manpower!D:D,)</f>
        <v>141169028</v>
      </c>
      <c r="G759" s="37" t="str">
        <f>_xlfn.XLOOKUP([1]!Table134526_79101120212223242526[[#This Row],[Name Surname]],[1]Manpower!$C$4:$C$1048576,[1]Manpower!$F$4:$F$1048576,"")</f>
        <v>Welder</v>
      </c>
      <c r="H759" s="37" t="str">
        <f>_xlfn.XLOOKUP([1]!Table134526_79101120212223242526[[#This Row],[Name Surname]],[1]Manpower!$C$4:$C$1048576,[1]Manpower!$H$4:$H$1048576,"")</f>
        <v>Manpower</v>
      </c>
      <c r="I759" s="13" t="str">
        <f>_xlfn.XLOOKUP([1]!Table134526_79101120212223242526[[#This Row],[Name Surname]],[1]Manpower!$C$4:$C$1048576,[1]Manpower!$H$4:$H$1048576,"")</f>
        <v>Manpower</v>
      </c>
      <c r="J759" s="13" t="s">
        <v>38</v>
      </c>
      <c r="K759" s="37" t="s">
        <v>7</v>
      </c>
      <c r="L759" s="37" t="s">
        <v>156</v>
      </c>
      <c r="M759" s="37" t="s">
        <v>5</v>
      </c>
      <c r="N759" s="38">
        <v>10</v>
      </c>
      <c r="O759" s="37"/>
      <c r="P759" s="37"/>
      <c r="Q759" s="37"/>
      <c r="R759" s="37" t="s">
        <v>157</v>
      </c>
      <c r="S759" s="15"/>
    </row>
    <row r="760" spans="1:19" x14ac:dyDescent="0.3">
      <c r="A760" s="29" t="e">
        <f>IF(C760="","",MAX($A$2:A759)+1)</f>
        <v>#REF!</v>
      </c>
      <c r="B760" s="41" t="s">
        <v>36</v>
      </c>
      <c r="C760" s="33">
        <v>46110</v>
      </c>
      <c r="D760" s="34" t="str">
        <f>_xlfn.XLOOKUP([1]!Table134526_79101120212223242526[[#This Row],[Name Surname]],[1]Manpower!$C$4:$C$1048576,[1]Manpower!$B$4:$B$1048576,"")</f>
        <v>Encogroup</v>
      </c>
      <c r="E760" s="34" t="s">
        <v>111</v>
      </c>
      <c r="F760" s="4">
        <f>_xlfn.XLOOKUP([1]!Table134526_79101120212223242526[[#This Row],[Name Surname]],[1]Manpower!C:C,[1]Manpower!D:D,)</f>
        <v>140805568</v>
      </c>
      <c r="G760" s="34" t="str">
        <f>_xlfn.XLOOKUP([1]!Table134526_79101120212223242526[[#This Row],[Name Surname]],[1]Manpower!$C$4:$C$1048576,[1]Manpower!$F$4:$F$1048576,"")</f>
        <v>Assistant/Helper</v>
      </c>
      <c r="H760" s="34" t="str">
        <f>_xlfn.XLOOKUP([1]!Table134526_79101120212223242526[[#This Row],[Name Surname]],[1]Manpower!$C$4:$C$1048576,[1]Manpower!$H$4:$H$1048576,"")</f>
        <v>Manpower</v>
      </c>
      <c r="I760" s="5" t="str">
        <f>_xlfn.XLOOKUP([1]!Table134526_79101120212223242526[[#This Row],[Name Surname]],[1]Manpower!$C$4:$C$1048576,[1]Manpower!$H$4:$H$1048576,"")</f>
        <v>Manpower</v>
      </c>
      <c r="J760" s="5" t="s">
        <v>38</v>
      </c>
      <c r="K760" s="34" t="s">
        <v>7</v>
      </c>
      <c r="L760" s="34" t="s">
        <v>156</v>
      </c>
      <c r="M760" s="34" t="s">
        <v>18</v>
      </c>
      <c r="N760" s="35">
        <v>10</v>
      </c>
      <c r="O760" s="34"/>
      <c r="P760" s="34"/>
      <c r="Q760" s="34"/>
      <c r="R760" s="34" t="s">
        <v>19</v>
      </c>
      <c r="S760" s="8"/>
    </row>
    <row r="761" spans="1:19" x14ac:dyDescent="0.3">
      <c r="A761" s="28" t="e">
        <f>IF(C761="","",MAX($A$2:A760)+1)</f>
        <v>#REF!</v>
      </c>
      <c r="B761" s="41" t="s">
        <v>36</v>
      </c>
      <c r="C761" s="36">
        <v>46110</v>
      </c>
      <c r="D761" s="37" t="str">
        <f>_xlfn.XLOOKUP([1]!Table134526_79101120212223242526[[#This Row],[Name Surname]],[1]Manpower!$C$4:$C$1048576,[1]Manpower!$B$4:$B$1048576,"")</f>
        <v>AL Saif &amp; Al QALLM ENT LLC</v>
      </c>
      <c r="E761" s="37" t="s">
        <v>112</v>
      </c>
      <c r="F761" s="12">
        <f>_xlfn.XLOOKUP([1]!Table134526_79101120212223242526[[#This Row],[Name Surname]],[1]Manpower!C:C,[1]Manpower!D:D,)</f>
        <v>76647648</v>
      </c>
      <c r="G761" s="37" t="str">
        <f>_xlfn.XLOOKUP([1]!Table134526_79101120212223242526[[#This Row],[Name Surname]],[1]Manpower!$C$4:$C$1048576,[1]Manpower!$F$4:$F$1048576,"")</f>
        <v>RIgger</v>
      </c>
      <c r="H761" s="37" t="str">
        <f>_xlfn.XLOOKUP([1]!Table134526_79101120212223242526[[#This Row],[Name Surname]],[1]Manpower!$C$4:$C$1048576,[1]Manpower!$H$4:$H$1048576,"")</f>
        <v>Sub Contactor</v>
      </c>
      <c r="I761" s="13" t="str">
        <f>_xlfn.XLOOKUP([1]!Table134526_79101120212223242526[[#This Row],[Name Surname]],[1]Manpower!$C$4:$C$1048576,[1]Manpower!$H$4:$H$1048576,"")</f>
        <v>Sub Contactor</v>
      </c>
      <c r="J761" s="13" t="s">
        <v>38</v>
      </c>
      <c r="K761" s="37" t="s">
        <v>7</v>
      </c>
      <c r="L761" s="37" t="s">
        <v>156</v>
      </c>
      <c r="M761" s="37" t="s">
        <v>18</v>
      </c>
      <c r="N761" s="38">
        <v>10</v>
      </c>
      <c r="O761" s="37"/>
      <c r="P761" s="37"/>
      <c r="Q761" s="37"/>
      <c r="R761" s="37" t="s">
        <v>19</v>
      </c>
      <c r="S761" s="15"/>
    </row>
    <row r="762" spans="1:19" x14ac:dyDescent="0.3">
      <c r="A762" s="29" t="e">
        <f>IF(C762="","",MAX($A$2:A761)+1)</f>
        <v>#REF!</v>
      </c>
      <c r="B762" s="41" t="s">
        <v>36</v>
      </c>
      <c r="C762" s="33">
        <v>46110</v>
      </c>
      <c r="D762" s="34" t="str">
        <f>_xlfn.XLOOKUP([1]!Table134526_79101120212223242526[[#This Row],[Name Surname]],[1]Manpower!$C$4:$C$1048576,[1]Manpower!$B$4:$B$1048576,"")</f>
        <v>Rabwu Ahamal AL Khaleej Trad</v>
      </c>
      <c r="E762" s="34" t="s">
        <v>123</v>
      </c>
      <c r="F762" s="4">
        <f>_xlfn.XLOOKUP([1]!Table134526_79101120212223242526[[#This Row],[Name Surname]],[1]Manpower!C:C,[1]Manpower!D:D,)</f>
        <v>131431131</v>
      </c>
      <c r="G762" s="34" t="str">
        <f>_xlfn.XLOOKUP([1]!Table134526_79101120212223242526[[#This Row],[Name Surname]],[1]Manpower!$C$4:$C$1048576,[1]Manpower!$F$4:$F$1048576,"")</f>
        <v>RIgger</v>
      </c>
      <c r="H762" s="34" t="str">
        <f>_xlfn.XLOOKUP([1]!Table134526_79101120212223242526[[#This Row],[Name Surname]],[1]Manpower!$C$4:$C$1048576,[1]Manpower!$H$4:$H$1048576,"")</f>
        <v>Sub Contactor</v>
      </c>
      <c r="I762" s="5" t="str">
        <f>_xlfn.XLOOKUP([1]!Table134526_79101120212223242526[[#This Row],[Name Surname]],[1]Manpower!$C$4:$C$1048576,[1]Manpower!$H$4:$H$1048576,"")</f>
        <v>Sub Contactor</v>
      </c>
      <c r="J762" s="5" t="s">
        <v>38</v>
      </c>
      <c r="K762" s="34" t="s">
        <v>7</v>
      </c>
      <c r="L762" s="34" t="s">
        <v>156</v>
      </c>
      <c r="M762" s="34" t="s">
        <v>5</v>
      </c>
      <c r="N762" s="35">
        <v>10</v>
      </c>
      <c r="O762" s="34"/>
      <c r="P762" s="34"/>
      <c r="Q762" s="34"/>
      <c r="R762" s="34" t="s">
        <v>157</v>
      </c>
      <c r="S762" s="8"/>
    </row>
    <row r="763" spans="1:19" x14ac:dyDescent="0.3">
      <c r="A763" s="28" t="e">
        <f>IF(C763="","",MAX($A$2:A762)+1)</f>
        <v>#REF!</v>
      </c>
      <c r="B763" s="41" t="s">
        <v>36</v>
      </c>
      <c r="C763" s="36">
        <v>46110</v>
      </c>
      <c r="D763" s="37" t="str">
        <f>_xlfn.XLOOKUP([1]!Table134526_79101120212223242526[[#This Row],[Name Surname]],[1]Manpower!$C$4:$C$1048576,[1]Manpower!$B$4:$B$1048576,"")</f>
        <v>AL Saif &amp; Al QALLM ENT LLC</v>
      </c>
      <c r="E763" s="37" t="s">
        <v>57</v>
      </c>
      <c r="F763" s="12">
        <f>_xlfn.XLOOKUP([1]!Table134526_79101120212223242526[[#This Row],[Name Surname]],[1]Manpower!C:C,[1]Manpower!D:D,)</f>
        <v>135762195</v>
      </c>
      <c r="G763" s="37" t="str">
        <f>_xlfn.XLOOKUP([1]!Table134526_79101120212223242526[[#This Row],[Name Surname]],[1]Manpower!$C$4:$C$1048576,[1]Manpower!$F$4:$F$1048576,"")</f>
        <v>HSE Officer</v>
      </c>
      <c r="H763" s="37" t="str">
        <f>_xlfn.XLOOKUP([1]!Table134526_79101120212223242526[[#This Row],[Name Surname]],[1]Manpower!$C$4:$C$1048576,[1]Manpower!$H$4:$H$1048576,"")</f>
        <v>Sub Contactor</v>
      </c>
      <c r="I763" s="13" t="str">
        <f>_xlfn.XLOOKUP([1]!Table134526_79101120212223242526[[#This Row],[Name Surname]],[1]Manpower!$C$4:$C$1048576,[1]Manpower!$H$4:$H$1048576,"")</f>
        <v>Sub Contactor</v>
      </c>
      <c r="J763" s="13" t="s">
        <v>38</v>
      </c>
      <c r="K763" s="37" t="s">
        <v>7</v>
      </c>
      <c r="L763" s="37" t="s">
        <v>156</v>
      </c>
      <c r="M763" s="37" t="s">
        <v>5</v>
      </c>
      <c r="N763" s="38">
        <v>10</v>
      </c>
      <c r="O763" s="37"/>
      <c r="P763" s="37"/>
      <c r="Q763" s="37"/>
      <c r="R763" s="37" t="s">
        <v>157</v>
      </c>
      <c r="S763" s="15"/>
    </row>
    <row r="764" spans="1:19" x14ac:dyDescent="0.3">
      <c r="A764" s="29" t="e">
        <f>IF(C764="","",MAX($A$2:A763)+1)</f>
        <v>#REF!</v>
      </c>
      <c r="B764" s="41" t="s">
        <v>36</v>
      </c>
      <c r="C764" s="33">
        <v>46110</v>
      </c>
      <c r="D764" s="34" t="str">
        <f>_xlfn.XLOOKUP([1]!Table134526_79101120212223242526[[#This Row],[Name Surname]],[1]Manpower!$C$4:$C$1048576,[1]Manpower!$B$4:$B$1048576,"")</f>
        <v>Encogroup</v>
      </c>
      <c r="E764" s="33" t="s">
        <v>58</v>
      </c>
      <c r="F764" s="4">
        <f>_xlfn.XLOOKUP([1]!Table134526_79101120212223242526[[#This Row],[Name Surname]],[1]Manpower!C:C,[1]Manpower!D:D,)</f>
        <v>140846684</v>
      </c>
      <c r="G764" s="34" t="str">
        <f>_xlfn.XLOOKUP([1]!Table134526_79101120212223242526[[#This Row],[Name Surname]],[1]Manpower!$C$4:$C$1048576,[1]Manpower!$F$4:$F$1048576,"")</f>
        <v>Assistant/Helper</v>
      </c>
      <c r="H764" s="34" t="str">
        <f>_xlfn.XLOOKUP([1]!Table134526_79101120212223242526[[#This Row],[Name Surname]],[1]Manpower!$C$4:$C$1048576,[1]Manpower!$H$4:$H$1048576,"")</f>
        <v>Manpower</v>
      </c>
      <c r="I764" s="34" t="str">
        <f>_xlfn.XLOOKUP([1]!Table134526_79101120212223242526[[#This Row],[Name Surname]],[1]Manpower!$C$4:$C$1048576,[1]Manpower!$H$4:$H$1048576,"")</f>
        <v>Manpower</v>
      </c>
      <c r="J764" s="34" t="s">
        <v>38</v>
      </c>
      <c r="K764" s="5" t="s">
        <v>7</v>
      </c>
      <c r="L764" s="34" t="s">
        <v>156</v>
      </c>
      <c r="M764" s="34" t="s">
        <v>18</v>
      </c>
      <c r="N764" s="35">
        <v>10</v>
      </c>
      <c r="O764" s="5"/>
      <c r="P764" s="5"/>
      <c r="Q764" s="5"/>
      <c r="R764" s="34" t="s">
        <v>19</v>
      </c>
      <c r="S764" s="8"/>
    </row>
    <row r="765" spans="1:19" x14ac:dyDescent="0.3">
      <c r="A765" s="28" t="e">
        <f>IF(C765="","",MAX($A$2:A764)+1)</f>
        <v>#REF!</v>
      </c>
      <c r="B765" s="41" t="s">
        <v>36</v>
      </c>
      <c r="C765" s="36">
        <v>46110</v>
      </c>
      <c r="D765" s="37" t="str">
        <f>_xlfn.XLOOKUP([1]!Table134526_79101120212223242526[[#This Row],[Name Surname]],[1]Manpower!$C$4:$C$1048576,[1]Manpower!$B$4:$B$1048576,"")</f>
        <v>Encogroup</v>
      </c>
      <c r="E765" s="36" t="s">
        <v>59</v>
      </c>
      <c r="F765" s="12">
        <f>_xlfn.XLOOKUP([1]!Table134526_79101120212223242526[[#This Row],[Name Surname]],[1]Manpower!C:C,[1]Manpower!D:D,)</f>
        <v>141250908</v>
      </c>
      <c r="G765" s="37" t="str">
        <f>_xlfn.XLOOKUP([1]!Table134526_79101120212223242526[[#This Row],[Name Surname]],[1]Manpower!$C$4:$C$1048576,[1]Manpower!$F$4:$F$1048576,"")</f>
        <v>Mechanical Engineer</v>
      </c>
      <c r="H765" s="37" t="str">
        <f>_xlfn.XLOOKUP([1]!Table134526_79101120212223242526[[#This Row],[Name Surname]],[1]Manpower!$C$4:$C$1048576,[1]Manpower!$H$4:$H$1048576,"")</f>
        <v>Manpower</v>
      </c>
      <c r="I765" s="37" t="str">
        <f>_xlfn.XLOOKUP([1]!Table134526_79101120212223242526[[#This Row],[Name Surname]],[1]Manpower!$C$4:$C$1048576,[1]Manpower!$H$4:$H$1048576,"")</f>
        <v>Manpower</v>
      </c>
      <c r="J765" s="37" t="s">
        <v>38</v>
      </c>
      <c r="K765" s="13" t="s">
        <v>7</v>
      </c>
      <c r="L765" s="37" t="s">
        <v>156</v>
      </c>
      <c r="M765" s="37" t="s">
        <v>18</v>
      </c>
      <c r="N765" s="38">
        <v>10</v>
      </c>
      <c r="O765" s="13"/>
      <c r="P765" s="13"/>
      <c r="Q765" s="13"/>
      <c r="R765" s="37" t="s">
        <v>19</v>
      </c>
      <c r="S765" s="15"/>
    </row>
    <row r="766" spans="1:19" x14ac:dyDescent="0.3">
      <c r="A766" s="29" t="e">
        <f>IF(C766="","",MAX($A$2:A765)+1)</f>
        <v>#REF!</v>
      </c>
      <c r="B766" s="42" t="s">
        <v>0</v>
      </c>
      <c r="C766" s="33">
        <v>46111</v>
      </c>
      <c r="D766" s="34" t="str">
        <f>_xlfn.XLOOKUP([1]!Table134526_79101120212223242526[[#This Row],[Name Surname]],[1]Manpower!$C$4:$C$1048576,[1]Manpower!$B$4:$B$1048576,"")</f>
        <v>Encogroup</v>
      </c>
      <c r="E766" s="34" t="s">
        <v>129</v>
      </c>
      <c r="F766" s="4" t="e">
        <f>_xlfn.XLOOKUP([1]!Table134526_79101120212223242526[[#This Row],[Name Surname]],[1]Manpower!C:C,[1]Manpower!D:D,)</f>
        <v>#N/A</v>
      </c>
      <c r="G766" s="34" t="str">
        <f>_xlfn.XLOOKUP([1]!Table134526_79101120212223242526[[#This Row],[Name Surname]],[1]Manpower!$C$4:$C$1048576,[1]Manpower!$F$4:$F$1048576,"")</f>
        <v>55 Seat Bus</v>
      </c>
      <c r="H766" s="34" t="str">
        <f>_xlfn.XLOOKUP([1]!Table134526_79101120212223242526[[#This Row],[Name Surname]],[1]Manpower!$C$4:$C$1048576,[1]Manpower!$H$4:$H$1048576,"")</f>
        <v>Equipment</v>
      </c>
      <c r="I766" s="5" t="str">
        <f>_xlfn.XLOOKUP([1]!Table134526_79101120212223242526[[#This Row],[Name Surname]],[1]Manpower!$C$4:$C$1048576,[1]Manpower!$H$4:$H$1048576,"")</f>
        <v>Equipment</v>
      </c>
      <c r="J766" s="5" t="s">
        <v>2</v>
      </c>
      <c r="K766" s="34" t="s">
        <v>130</v>
      </c>
      <c r="L766" s="34" t="s">
        <v>10</v>
      </c>
      <c r="M766" s="34" t="s">
        <v>18</v>
      </c>
      <c r="N766" s="35">
        <v>10</v>
      </c>
      <c r="O766" s="34"/>
      <c r="P766" s="34"/>
      <c r="Q766" s="34"/>
      <c r="R766" s="34" t="s">
        <v>160</v>
      </c>
      <c r="S766" s="8"/>
    </row>
    <row r="767" spans="1:19" x14ac:dyDescent="0.3">
      <c r="A767" s="28" t="e">
        <f>IF(C767="","",MAX($A$2:A766)+1)</f>
        <v>#REF!</v>
      </c>
      <c r="B767" s="42" t="s">
        <v>0</v>
      </c>
      <c r="C767" s="36">
        <v>46111</v>
      </c>
      <c r="D767" s="37" t="str">
        <f>_xlfn.XLOOKUP([1]!Table134526_79101120212223242526[[#This Row],[Name Surname]],[1]Manpower!$C$4:$C$1048576,[1]Manpower!$B$4:$B$1048576,"")</f>
        <v>Encogroup</v>
      </c>
      <c r="E767" s="37" t="s">
        <v>46</v>
      </c>
      <c r="F767" s="12" t="e">
        <f>_xlfn.XLOOKUP([1]!Table134526_79101120212223242526[[#This Row],[Name Surname]],[1]Manpower!C:C,[1]Manpower!D:D,)</f>
        <v>#N/A</v>
      </c>
      <c r="G767" s="37" t="str">
        <f>_xlfn.XLOOKUP([1]!Table134526_79101120212223242526[[#This Row],[Name Surname]],[1]Manpower!$C$4:$C$1048576,[1]Manpower!$F$4:$F$1048576,"")</f>
        <v>TOWER LIGHT</v>
      </c>
      <c r="H767" s="37" t="str">
        <f>_xlfn.XLOOKUP([1]!Table134526_79101120212223242526[[#This Row],[Name Surname]],[1]Manpower!$C$4:$C$1048576,[1]Manpower!$H$4:$H$1048576,"")</f>
        <v>Equipment</v>
      </c>
      <c r="I767" s="13" t="str">
        <f>_xlfn.XLOOKUP([1]!Table134526_79101120212223242526[[#This Row],[Name Surname]],[1]Manpower!$C$4:$C$1048576,[1]Manpower!$H$4:$H$1048576,"")</f>
        <v>Equipment</v>
      </c>
      <c r="J767" s="13" t="s">
        <v>2</v>
      </c>
      <c r="K767" s="37" t="s">
        <v>130</v>
      </c>
      <c r="L767" s="37" t="s">
        <v>10</v>
      </c>
      <c r="M767" s="37" t="s">
        <v>18</v>
      </c>
      <c r="N767" s="38">
        <v>10</v>
      </c>
      <c r="O767" s="37"/>
      <c r="P767" s="37"/>
      <c r="Q767" s="37"/>
      <c r="R767" s="37" t="s">
        <v>160</v>
      </c>
      <c r="S767" s="15"/>
    </row>
    <row r="768" spans="1:19" x14ac:dyDescent="0.3">
      <c r="A768" s="29" t="e">
        <f>IF(C768="","",MAX($A$2:A767)+1)</f>
        <v>#REF!</v>
      </c>
      <c r="B768" s="40" t="s">
        <v>0</v>
      </c>
      <c r="C768" s="33">
        <v>46111</v>
      </c>
      <c r="D768" s="34" t="str">
        <f>_xlfn.XLOOKUP([1]!Table134526_79101120212223242526[[#This Row],[Name Surname]],[1]Manpower!$C$4:$C$1048576,[1]Manpower!$B$4:$B$1048576,"")</f>
        <v>Encogroup</v>
      </c>
      <c r="E768" s="33" t="s">
        <v>61</v>
      </c>
      <c r="F768" s="4" t="e">
        <f>_xlfn.XLOOKUP([1]!Table134526_79101120212223242526[[#This Row],[Name Surname]],[1]Manpower!C:C,[1]Manpower!D:D,)</f>
        <v>#N/A</v>
      </c>
      <c r="G768" s="34" t="str">
        <f>_xlfn.XLOOKUP([1]!Table134526_79101120212223242526[[#This Row],[Name Surname]],[1]Manpower!$C$4:$C$1048576,[1]Manpower!$F$4:$F$1048576,"")</f>
        <v>13 Seat Bus</v>
      </c>
      <c r="H768" s="34" t="str">
        <f>_xlfn.XLOOKUP([1]!Table134526_79101120212223242526[[#This Row],[Name Surname]],[1]Manpower!$C$4:$C$1048576,[1]Manpower!$H$4:$H$1048576,"")</f>
        <v>Equipment</v>
      </c>
      <c r="I768" s="5" t="str">
        <f>_xlfn.XLOOKUP([1]!Table134526_79101120212223242526[[#This Row],[Name Surname]],[1]Manpower!$C$4:$C$1048576,[1]Manpower!$H$4:$H$1048576,"")</f>
        <v>Equipment</v>
      </c>
      <c r="J768" s="5" t="s">
        <v>9</v>
      </c>
      <c r="K768" s="34" t="s">
        <v>7</v>
      </c>
      <c r="L768" s="34" t="s">
        <v>10</v>
      </c>
      <c r="M768" s="34" t="s">
        <v>18</v>
      </c>
      <c r="N768" s="35">
        <v>10</v>
      </c>
      <c r="O768" s="34"/>
      <c r="P768" s="34"/>
      <c r="Q768" s="34"/>
      <c r="R768" s="34" t="s">
        <v>151</v>
      </c>
      <c r="S768" s="8"/>
    </row>
    <row r="769" spans="1:19" x14ac:dyDescent="0.3">
      <c r="A769" s="28" t="e">
        <f>IF(C769="","",MAX($A$2:A768)+1)</f>
        <v>#REF!</v>
      </c>
      <c r="B769" s="40" t="s">
        <v>0</v>
      </c>
      <c r="C769" s="36">
        <v>46111</v>
      </c>
      <c r="D769" s="37" t="str">
        <f>_xlfn.XLOOKUP([1]!Table134526_79101120212223242526[[#This Row],[Name Surname]],[1]Manpower!$C$4:$C$1048576,[1]Manpower!$B$4:$B$1048576,"")</f>
        <v>Encogroup</v>
      </c>
      <c r="E769" s="37" t="s">
        <v>8</v>
      </c>
      <c r="F769" s="12" t="e">
        <f>_xlfn.XLOOKUP([1]!Table134526_79101120212223242526[[#This Row],[Name Surname]],[1]Manpower!C:C,[1]Manpower!D:D,)</f>
        <v>#N/A</v>
      </c>
      <c r="G769" s="37" t="str">
        <f>_xlfn.XLOOKUP([1]!Table134526_79101120212223242526[[#This Row],[Name Surname]],[1]Manpower!$C$4:$C$1048576,[1]Manpower!$F$4:$F$1048576,"")</f>
        <v>15 Seat Bus</v>
      </c>
      <c r="H769" s="37" t="str">
        <f>_xlfn.XLOOKUP([1]!Table134526_79101120212223242526[[#This Row],[Name Surname]],[1]Manpower!$C$4:$C$1048576,[1]Manpower!$H$4:$H$1048576,"")</f>
        <v>Equipment</v>
      </c>
      <c r="I769" s="13" t="str">
        <f>_xlfn.XLOOKUP([1]!Table134526_79101120212223242526[[#This Row],[Name Surname]],[1]Manpower!$C$4:$C$1048576,[1]Manpower!$H$4:$H$1048576,"")</f>
        <v>Equipment</v>
      </c>
      <c r="J769" s="13" t="s">
        <v>9</v>
      </c>
      <c r="K769" s="37" t="s">
        <v>7</v>
      </c>
      <c r="L769" s="37" t="s">
        <v>10</v>
      </c>
      <c r="M769" s="37" t="s">
        <v>5</v>
      </c>
      <c r="N769" s="38">
        <v>10</v>
      </c>
      <c r="O769" s="37" t="s">
        <v>6</v>
      </c>
      <c r="P769" s="37" t="s">
        <v>12</v>
      </c>
      <c r="Q769" s="37" t="s">
        <v>29</v>
      </c>
      <c r="R769" s="37" t="s">
        <v>161</v>
      </c>
      <c r="S769" s="15"/>
    </row>
    <row r="770" spans="1:19" x14ac:dyDescent="0.3">
      <c r="A770" s="29" t="e">
        <f>IF(C770="","",MAX($A$2:A769)+1)</f>
        <v>#REF!</v>
      </c>
      <c r="B770" s="43" t="s">
        <v>0</v>
      </c>
      <c r="C770" s="33">
        <v>46111</v>
      </c>
      <c r="D770" s="34" t="str">
        <f>_xlfn.XLOOKUP([1]!Table134526_79101120212223242526[[#This Row],[Name Surname]],[1]Manpower!$C$4:$C$1048576,[1]Manpower!$B$4:$B$1048576,"")</f>
        <v>Nass Group</v>
      </c>
      <c r="E770" s="34" t="s">
        <v>17</v>
      </c>
      <c r="F770" s="4" t="e">
        <f>_xlfn.XLOOKUP([1]!Table134526_79101120212223242526[[#This Row],[Name Surname]],[1]Manpower!C:C,[1]Manpower!D:D,)</f>
        <v>#N/A</v>
      </c>
      <c r="G770" s="34" t="str">
        <f>_xlfn.XLOOKUP([1]!Table134526_79101120212223242526[[#This Row],[Name Surname]],[1]Manpower!$C$4:$C$1048576,[1]Manpower!$F$4:$F$1048576,"")</f>
        <v>130T Crawler Crane</v>
      </c>
      <c r="H770" s="34" t="str">
        <f>_xlfn.XLOOKUP([1]!Table134526_79101120212223242526[[#This Row],[Name Surname]],[1]Manpower!$C$4:$C$1048576,[1]Manpower!$H$4:$H$1048576,"")</f>
        <v>Equipment</v>
      </c>
      <c r="I770" s="5" t="str">
        <f>_xlfn.XLOOKUP([1]!Table134526_79101120212223242526[[#This Row],[Name Surname]],[1]Manpower!$C$4:$C$1048576,[1]Manpower!$H$4:$H$1048576,"")</f>
        <v>Equipment</v>
      </c>
      <c r="J770" s="5" t="s">
        <v>9</v>
      </c>
      <c r="K770" s="34" t="s">
        <v>7</v>
      </c>
      <c r="L770" s="34" t="s">
        <v>10</v>
      </c>
      <c r="M770" s="34" t="s">
        <v>5</v>
      </c>
      <c r="N770" s="35">
        <v>10</v>
      </c>
      <c r="O770" s="34" t="s">
        <v>6</v>
      </c>
      <c r="P770" s="34" t="s">
        <v>12</v>
      </c>
      <c r="Q770" s="34" t="s">
        <v>29</v>
      </c>
      <c r="R770" s="34" t="s">
        <v>161</v>
      </c>
      <c r="S770" s="8"/>
    </row>
    <row r="771" spans="1:19" x14ac:dyDescent="0.3">
      <c r="A771" s="28" t="e">
        <f>IF(C771="","",MAX($A$2:A770)+1)</f>
        <v>#REF!</v>
      </c>
      <c r="B771" s="44" t="s">
        <v>0</v>
      </c>
      <c r="C771" s="36">
        <v>46111</v>
      </c>
      <c r="D771" s="37" t="str">
        <f>_xlfn.XLOOKUP([1]!Table134526_79101120212223242526[[#This Row],[Name Surname]],[1]Manpower!$C$4:$C$1048576,[1]Manpower!$B$4:$B$1048576,"")</f>
        <v>Nass Group</v>
      </c>
      <c r="E771" s="37" t="s">
        <v>15</v>
      </c>
      <c r="F771" s="12" t="e">
        <f>_xlfn.XLOOKUP([1]!Table134526_79101120212223242526[[#This Row],[Name Surname]],[1]Manpower!C:C,[1]Manpower!D:D,)</f>
        <v>#N/A</v>
      </c>
      <c r="G771" s="37" t="str">
        <f>_xlfn.XLOOKUP([1]!Table134526_79101120212223242526[[#This Row],[Name Surname]],[1]Manpower!$C$4:$C$1048576,[1]Manpower!$F$4:$F$1048576,"")</f>
        <v>70T-Telescopic crane</v>
      </c>
      <c r="H771" s="37" t="str">
        <f>_xlfn.XLOOKUP([1]!Table134526_79101120212223242526[[#This Row],[Name Surname]],[1]Manpower!$C$4:$C$1048576,[1]Manpower!$H$4:$H$1048576,"")</f>
        <v>Equipment</v>
      </c>
      <c r="I771" s="13" t="str">
        <f>_xlfn.XLOOKUP([1]!Table134526_79101120212223242526[[#This Row],[Name Surname]],[1]Manpower!$C$4:$C$1048576,[1]Manpower!$H$4:$H$1048576,"")</f>
        <v>Equipment</v>
      </c>
      <c r="J771" s="13" t="s">
        <v>9</v>
      </c>
      <c r="K771" s="37" t="s">
        <v>7</v>
      </c>
      <c r="L771" s="37" t="s">
        <v>10</v>
      </c>
      <c r="M771" s="37" t="s">
        <v>5</v>
      </c>
      <c r="N771" s="38">
        <v>10</v>
      </c>
      <c r="O771" s="37" t="s">
        <v>6</v>
      </c>
      <c r="P771" s="37" t="s">
        <v>12</v>
      </c>
      <c r="Q771" s="37" t="s">
        <v>29</v>
      </c>
      <c r="R771" s="37" t="s">
        <v>161</v>
      </c>
      <c r="S771" s="15"/>
    </row>
    <row r="772" spans="1:19" x14ac:dyDescent="0.3">
      <c r="A772" s="29" t="e">
        <f>IF(C772="","",MAX($A$2:A771)+1)</f>
        <v>#REF!</v>
      </c>
      <c r="B772" s="43" t="s">
        <v>0</v>
      </c>
      <c r="C772" s="33">
        <v>46111</v>
      </c>
      <c r="D772" s="33" t="str">
        <f>_xlfn.XLOOKUP([1]!Table134526_79101120212223242526[[#This Row],[Name Surname]],[1]Manpower!$C$4:$C$1048576,[1]Manpower!$B$4:$B$1048576,"")</f>
        <v>Encogroup</v>
      </c>
      <c r="E772" s="33" t="s">
        <v>20</v>
      </c>
      <c r="F772" s="4" t="e">
        <f>_xlfn.XLOOKUP([1]!Table134526_79101120212223242526[[#This Row],[Name Surname]],[1]Manpower!C:C,[1]Manpower!D:D,)</f>
        <v>#N/A</v>
      </c>
      <c r="G772" s="33" t="str">
        <f>_xlfn.XLOOKUP([1]!Table134526_79101120212223242526[[#This Row],[Name Surname]],[1]Manpower!$C$4:$C$1048576,[1]Manpower!$F$4:$F$1048576,"")</f>
        <v>14T Fork lift</v>
      </c>
      <c r="H772" s="33" t="str">
        <f>_xlfn.XLOOKUP([1]!Table134526_79101120212223242526[[#This Row],[Name Surname]],[1]Manpower!$C$4:$C$1048576,[1]Manpower!$H$4:$H$1048576,"")</f>
        <v>Equipment</v>
      </c>
      <c r="I772" s="33" t="str">
        <f>_xlfn.XLOOKUP([1]!Table134526_79101120212223242526[[#This Row],[Name Surname]],[1]Manpower!$C$4:$C$1048576,[1]Manpower!$H$4:$H$1048576,"")</f>
        <v>Equipment</v>
      </c>
      <c r="J772" s="5" t="s">
        <v>9</v>
      </c>
      <c r="K772" s="34" t="s">
        <v>7</v>
      </c>
      <c r="L772" s="34" t="s">
        <v>10</v>
      </c>
      <c r="M772" s="34" t="s">
        <v>5</v>
      </c>
      <c r="N772" s="35">
        <v>10</v>
      </c>
      <c r="O772" s="34" t="s">
        <v>6</v>
      </c>
      <c r="P772" s="34" t="s">
        <v>12</v>
      </c>
      <c r="Q772" s="34" t="s">
        <v>29</v>
      </c>
      <c r="R772" s="34" t="s">
        <v>161</v>
      </c>
      <c r="S772" s="8"/>
    </row>
    <row r="773" spans="1:19" x14ac:dyDescent="0.3">
      <c r="A773" s="28" t="e">
        <f>IF(C773="","",MAX($A$2:A772)+1)</f>
        <v>#REF!</v>
      </c>
      <c r="B773" s="41" t="s">
        <v>36</v>
      </c>
      <c r="C773" s="36">
        <v>46111</v>
      </c>
      <c r="D773" s="37" t="str">
        <f>_xlfn.XLOOKUP([1]!Table134526_79101120212223242526[[#This Row],[Name Surname]],[1]Manpower!$C$4:$C$1048576,[1]Manpower!$B$4:$B$1048576,"")</f>
        <v>Al Jaber Heavy Lift</v>
      </c>
      <c r="E773" s="37" t="s">
        <v>22</v>
      </c>
      <c r="F773" s="12" t="e">
        <f>_xlfn.XLOOKUP([1]!Table134526_79101120212223242526[[#This Row],[Name Surname]],[1]Manpower!C:C,[1]Manpower!D:D,)</f>
        <v>#N/A</v>
      </c>
      <c r="G773" s="37" t="str">
        <f>_xlfn.XLOOKUP([1]!Table134526_79101120212223242526[[#This Row],[Name Surname]],[1]Manpower!$C$4:$C$1048576,[1]Manpower!$F$4:$F$1048576,"")</f>
        <v>150T-Crawler Crane</v>
      </c>
      <c r="H773" s="37" t="str">
        <f>_xlfn.XLOOKUP([1]!Table134526_79101120212223242526[[#This Row],[Name Surname]],[1]Manpower!$C$4:$C$1048576,[1]Manpower!$H$4:$H$1048576,"")</f>
        <v>Equipment</v>
      </c>
      <c r="I773" s="13" t="str">
        <f>_xlfn.XLOOKUP([1]!Table134526_79101120212223242526[[#This Row],[Name Surname]],[1]Manpower!$C$4:$C$1048576,[1]Manpower!$H$4:$H$1048576,"")</f>
        <v>Equipment</v>
      </c>
      <c r="J773" s="13" t="s">
        <v>23</v>
      </c>
      <c r="K773" s="37" t="s">
        <v>153</v>
      </c>
      <c r="L773" s="37" t="s">
        <v>25</v>
      </c>
      <c r="M773" s="37" t="s">
        <v>5</v>
      </c>
      <c r="N773" s="38">
        <v>10</v>
      </c>
      <c r="O773" s="13" t="s">
        <v>6</v>
      </c>
      <c r="P773" s="13" t="s">
        <v>12</v>
      </c>
      <c r="Q773" s="13" t="s">
        <v>26</v>
      </c>
      <c r="R773" s="37" t="s">
        <v>162</v>
      </c>
      <c r="S773" s="15"/>
    </row>
    <row r="774" spans="1:19" x14ac:dyDescent="0.3">
      <c r="A774" s="29" t="e">
        <f>IF(C774="","",MAX($A$2:A773)+1)</f>
        <v>#REF!</v>
      </c>
      <c r="B774" s="41" t="s">
        <v>36</v>
      </c>
      <c r="C774" s="33">
        <v>46111</v>
      </c>
      <c r="D774" s="34" t="str">
        <f>_xlfn.XLOOKUP([1]!Table134526_79101120212223242526[[#This Row],[Name Surname]],[1]Manpower!$C$4:$C$1048576,[1]Manpower!$B$4:$B$1048576,"")</f>
        <v>Encogroup</v>
      </c>
      <c r="E774" s="34" t="s">
        <v>28</v>
      </c>
      <c r="F774" s="4" t="e">
        <f>_xlfn.XLOOKUP([1]!Table134526_79101120212223242526[[#This Row],[Name Surname]],[1]Manpower!C:C,[1]Manpower!D:D,)</f>
        <v>#N/A</v>
      </c>
      <c r="G774" s="34" t="str">
        <f>_xlfn.XLOOKUP([1]!Table134526_79101120212223242526[[#This Row],[Name Surname]],[1]Manpower!$C$4:$C$1048576,[1]Manpower!$F$4:$F$1048576,"")</f>
        <v>22 Seat Bus</v>
      </c>
      <c r="H774" s="34" t="str">
        <f>_xlfn.XLOOKUP([1]!Table134526_79101120212223242526[[#This Row],[Name Surname]],[1]Manpower!$C$4:$C$1048576,[1]Manpower!$H$4:$H$1048576,"")</f>
        <v>Equipment</v>
      </c>
      <c r="I774" s="5" t="str">
        <f>_xlfn.XLOOKUP([1]!Table134526_79101120212223242526[[#This Row],[Name Surname]],[1]Manpower!$C$4:$C$1048576,[1]Manpower!$H$4:$H$1048576,"")</f>
        <v>Equipment</v>
      </c>
      <c r="J774" s="5" t="s">
        <v>23</v>
      </c>
      <c r="K774" s="34" t="s">
        <v>153</v>
      </c>
      <c r="L774" s="34" t="s">
        <v>25</v>
      </c>
      <c r="M774" s="34" t="s">
        <v>5</v>
      </c>
      <c r="N774" s="35">
        <v>10</v>
      </c>
      <c r="O774" s="5" t="s">
        <v>6</v>
      </c>
      <c r="P774" s="5" t="s">
        <v>12</v>
      </c>
      <c r="Q774" s="5" t="s">
        <v>26</v>
      </c>
      <c r="R774" s="34" t="s">
        <v>162</v>
      </c>
      <c r="S774" s="8"/>
    </row>
    <row r="775" spans="1:19" x14ac:dyDescent="0.3">
      <c r="A775" s="28" t="e">
        <f>IF(C775="","",MAX($A$2:A774)+1)</f>
        <v>#REF!</v>
      </c>
      <c r="B775" s="41" t="s">
        <v>36</v>
      </c>
      <c r="C775" s="36">
        <v>46111</v>
      </c>
      <c r="D775" s="37" t="str">
        <f>_xlfn.XLOOKUP([1]!Table134526_79101120212223242526[[#This Row],[Name Surname]],[1]Manpower!$C$4:$C$1048576,[1]Manpower!$B$4:$B$1048576,"")</f>
        <v>Encogroup</v>
      </c>
      <c r="E775" s="37" t="s">
        <v>111</v>
      </c>
      <c r="F775" s="12" t="e">
        <f>_xlfn.XLOOKUP([1]!Table134526_79101120212223242526[[#This Row],[Name Surname]],[1]Manpower!C:C,[1]Manpower!D:D,)</f>
        <v>#N/A</v>
      </c>
      <c r="G775" s="37" t="str">
        <f>_xlfn.XLOOKUP([1]!Table134526_79101120212223242526[[#This Row],[Name Surname]],[1]Manpower!$C$4:$C$1048576,[1]Manpower!$F$4:$F$1048576,"")</f>
        <v>22 Seat Bus</v>
      </c>
      <c r="H775" s="37" t="str">
        <f>_xlfn.XLOOKUP([1]!Table134526_79101120212223242526[[#This Row],[Name Surname]],[1]Manpower!$C$4:$C$1048576,[1]Manpower!$H$4:$H$1048576,"")</f>
        <v>Equipment</v>
      </c>
      <c r="I775" s="13" t="str">
        <f>_xlfn.XLOOKUP([1]!Table134526_79101120212223242526[[#This Row],[Name Surname]],[1]Manpower!$C$4:$C$1048576,[1]Manpower!$H$4:$H$1048576,"")</f>
        <v>Equipment</v>
      </c>
      <c r="J775" s="13" t="s">
        <v>23</v>
      </c>
      <c r="K775" s="37" t="s">
        <v>153</v>
      </c>
      <c r="L775" s="37" t="s">
        <v>25</v>
      </c>
      <c r="M775" s="37" t="s">
        <v>5</v>
      </c>
      <c r="N775" s="38">
        <v>10</v>
      </c>
      <c r="O775" s="13" t="s">
        <v>155</v>
      </c>
      <c r="P775" s="13" t="s">
        <v>155</v>
      </c>
      <c r="Q775" s="13" t="s">
        <v>155</v>
      </c>
      <c r="R775" s="37" t="s">
        <v>162</v>
      </c>
      <c r="S775" s="15"/>
    </row>
    <row r="776" spans="1:19" x14ac:dyDescent="0.3">
      <c r="A776" s="29" t="e">
        <f>IF(C776="","",MAX($A$2:A775)+1)</f>
        <v>#REF!</v>
      </c>
      <c r="B776" s="41" t="s">
        <v>36</v>
      </c>
      <c r="C776" s="33">
        <v>46111</v>
      </c>
      <c r="D776" s="34" t="str">
        <f>_xlfn.XLOOKUP([1]!Table134526_79101120212223242526[[#This Row],[Name Surname]],[1]Manpower!$C$4:$C$1048576,[1]Manpower!$B$4:$B$1048576,"")</f>
        <v>Encogroup</v>
      </c>
      <c r="E776" s="34" t="s">
        <v>31</v>
      </c>
      <c r="F776" s="4" t="e">
        <f>_xlfn.XLOOKUP([1]!Table134526_79101120212223242526[[#This Row],[Name Surname]],[1]Manpower!C:C,[1]Manpower!D:D,)</f>
        <v>#N/A</v>
      </c>
      <c r="G776" s="34" t="str">
        <f>_xlfn.XLOOKUP([1]!Table134526_79101120212223242526[[#This Row],[Name Surname]],[1]Manpower!$C$4:$C$1048576,[1]Manpower!$F$4:$F$1048576,"")</f>
        <v>300 KVA Generator</v>
      </c>
      <c r="H776" s="34" t="str">
        <f>_xlfn.XLOOKUP([1]!Table134526_79101120212223242526[[#This Row],[Name Surname]],[1]Manpower!$C$4:$C$1048576,[1]Manpower!$H$4:$H$1048576,"")</f>
        <v>Equipment</v>
      </c>
      <c r="I776" s="5" t="str">
        <f>_xlfn.XLOOKUP([1]!Table134526_79101120212223242526[[#This Row],[Name Surname]],[1]Manpower!$C$4:$C$1048576,[1]Manpower!$H$4:$H$1048576,"")</f>
        <v>Equipment</v>
      </c>
      <c r="J776" s="5" t="s">
        <v>23</v>
      </c>
      <c r="K776" s="34" t="s">
        <v>153</v>
      </c>
      <c r="L776" s="34" t="s">
        <v>25</v>
      </c>
      <c r="M776" s="34" t="s">
        <v>5</v>
      </c>
      <c r="N776" s="35">
        <v>10</v>
      </c>
      <c r="O776" s="5" t="s">
        <v>11</v>
      </c>
      <c r="P776" s="5" t="s">
        <v>12</v>
      </c>
      <c r="Q776" s="5" t="s">
        <v>13</v>
      </c>
      <c r="R776" s="34" t="s">
        <v>162</v>
      </c>
      <c r="S776" s="8"/>
    </row>
    <row r="777" spans="1:19" x14ac:dyDescent="0.3">
      <c r="A777" s="28" t="e">
        <f>IF(C777="","",MAX($A$2:A776)+1)</f>
        <v>#REF!</v>
      </c>
      <c r="B777" s="41" t="s">
        <v>36</v>
      </c>
      <c r="C777" s="36">
        <v>46111</v>
      </c>
      <c r="D777" s="37" t="str">
        <f>_xlfn.XLOOKUP([1]!Table134526_79101120212223242526[[#This Row],[Name Surname]],[1]Manpower!$C$4:$C$1048576,[1]Manpower!$B$4:$B$1048576,"")</f>
        <v>Encogroup</v>
      </c>
      <c r="E777" s="37" t="s">
        <v>41</v>
      </c>
      <c r="F777" s="12" t="e">
        <f>_xlfn.XLOOKUP([1]!Table134526_79101120212223242526[[#This Row],[Name Surname]],[1]Manpower!C:C,[1]Manpower!D:D,)</f>
        <v>#N/A</v>
      </c>
      <c r="G777" s="37" t="str">
        <f>_xlfn.XLOOKUP([1]!Table134526_79101120212223242526[[#This Row],[Name Surname]],[1]Manpower!$C$4:$C$1048576,[1]Manpower!$F$4:$F$1048576,"")</f>
        <v>35 KVA Generator</v>
      </c>
      <c r="H777" s="37" t="str">
        <f>_xlfn.XLOOKUP([1]!Table134526_79101120212223242526[[#This Row],[Name Surname]],[1]Manpower!$C$4:$C$1048576,[1]Manpower!$H$4:$H$1048576,"")</f>
        <v>Equipment</v>
      </c>
      <c r="I777" s="13" t="str">
        <f>_xlfn.XLOOKUP([1]!Table134526_79101120212223242526[[#This Row],[Name Surname]],[1]Manpower!$C$4:$C$1048576,[1]Manpower!$H$4:$H$1048576,"")</f>
        <v>Equipment</v>
      </c>
      <c r="J777" s="13" t="s">
        <v>23</v>
      </c>
      <c r="K777" s="37" t="s">
        <v>153</v>
      </c>
      <c r="L777" s="37" t="s">
        <v>25</v>
      </c>
      <c r="M777" s="37" t="s">
        <v>5</v>
      </c>
      <c r="N777" s="38">
        <v>10</v>
      </c>
      <c r="O777" s="13" t="s">
        <v>11</v>
      </c>
      <c r="P777" s="13" t="s">
        <v>12</v>
      </c>
      <c r="Q777" s="13" t="s">
        <v>13</v>
      </c>
      <c r="R777" s="37" t="s">
        <v>162</v>
      </c>
      <c r="S777" s="15"/>
    </row>
    <row r="778" spans="1:19" x14ac:dyDescent="0.3">
      <c r="A778" s="29" t="e">
        <f>IF(C778="","",MAX($A$2:A777)+1)</f>
        <v>#REF!</v>
      </c>
      <c r="B778" s="41" t="s">
        <v>36</v>
      </c>
      <c r="C778" s="33">
        <v>46111</v>
      </c>
      <c r="D778" s="5" t="str">
        <f>_xlfn.XLOOKUP([1]!Table134526_79101120212223242526[[#This Row],[Name Surname]],[1]Manpower!$C$4:$C$1048576,[1]Manpower!$B$4:$B$1048576,"")</f>
        <v>Encogroup</v>
      </c>
      <c r="E778" s="5" t="s">
        <v>32</v>
      </c>
      <c r="F778" s="4">
        <f>_xlfn.XLOOKUP([1]!Table134526_79101120212223242526[[#This Row],[Name Surname]],[1]Manpower!C:C,[1]Manpower!D:D,)</f>
        <v>140742144</v>
      </c>
      <c r="G778" s="5" t="str">
        <f>_xlfn.XLOOKUP([1]!Table134526_79101120212223242526[[#This Row],[Name Surname]],[1]Manpower!$C$4:$C$1048576,[1]Manpower!$F$4:$F$1048576,"")</f>
        <v>Assistant/Helper</v>
      </c>
      <c r="H778" s="5" t="str">
        <f>_xlfn.XLOOKUP([1]!Table134526_79101120212223242526[[#This Row],[Name Surname]],[1]Manpower!$C$4:$C$1048576,[1]Manpower!$H$4:$H$1048576,"")</f>
        <v>Manpower</v>
      </c>
      <c r="I778" s="5" t="str">
        <f>_xlfn.XLOOKUP([1]!Table134526_79101120212223242526[[#This Row],[Name Surname]],[1]Manpower!$C$4:$C$1048576,[1]Manpower!$H$4:$H$1048576,"")</f>
        <v>Manpower</v>
      </c>
      <c r="J778" s="5" t="s">
        <v>23</v>
      </c>
      <c r="K778" s="34" t="s">
        <v>153</v>
      </c>
      <c r="L778" s="34" t="s">
        <v>25</v>
      </c>
      <c r="M778" s="34" t="s">
        <v>5</v>
      </c>
      <c r="N778" s="35">
        <v>10</v>
      </c>
      <c r="O778" s="5" t="s">
        <v>33</v>
      </c>
      <c r="P778" s="5" t="s">
        <v>33</v>
      </c>
      <c r="Q778" s="5" t="s">
        <v>33</v>
      </c>
      <c r="R778" s="34" t="s">
        <v>162</v>
      </c>
      <c r="S778" s="8"/>
    </row>
    <row r="779" spans="1:19" x14ac:dyDescent="0.3">
      <c r="A779" s="28" t="e">
        <f>IF(C779="","",MAX($A$2:A778)+1)</f>
        <v>#REF!</v>
      </c>
      <c r="B779" s="41" t="s">
        <v>36</v>
      </c>
      <c r="C779" s="36">
        <v>46111</v>
      </c>
      <c r="D779" s="37" t="str">
        <f>_xlfn.XLOOKUP([1]!Table134526_79101120212223242526[[#This Row],[Name Surname]],[1]Manpower!$C$4:$C$1048576,[1]Manpower!$B$4:$B$1048576,"")</f>
        <v>SARENS NASS</v>
      </c>
      <c r="E779" s="37" t="s">
        <v>34</v>
      </c>
      <c r="F779" s="12">
        <f>_xlfn.XLOOKUP([1]!Table134526_79101120212223242526[[#This Row],[Name Surname]],[1]Manpower!C:C,[1]Manpower!D:D,)</f>
        <v>78753612</v>
      </c>
      <c r="G779" s="37" t="str">
        <f>_xlfn.XLOOKUP([1]!Table134526_79101120212223242526[[#This Row],[Name Surname]],[1]Manpower!$C$4:$C$1048576,[1]Manpower!$F$4:$F$1048576,"")</f>
        <v>Crane Operator- 70T Liebherr Telescopic Crane-02</v>
      </c>
      <c r="H779" s="37" t="str">
        <f>_xlfn.XLOOKUP([1]!Table134526_79101120212223242526[[#This Row],[Name Surname]],[1]Manpower!$C$4:$C$1048576,[1]Manpower!$H$4:$H$1048576,"")</f>
        <v>Manpower</v>
      </c>
      <c r="I779" s="13" t="str">
        <f>_xlfn.XLOOKUP([1]!Table134526_79101120212223242526[[#This Row],[Name Surname]],[1]Manpower!$C$4:$C$1048576,[1]Manpower!$H$4:$H$1048576,"")</f>
        <v>Manpower</v>
      </c>
      <c r="J779" s="13" t="s">
        <v>23</v>
      </c>
      <c r="K779" s="37" t="s">
        <v>153</v>
      </c>
      <c r="L779" s="37" t="s">
        <v>25</v>
      </c>
      <c r="M779" s="37" t="s">
        <v>5</v>
      </c>
      <c r="N779" s="38">
        <v>10</v>
      </c>
      <c r="O779" s="13" t="s">
        <v>35</v>
      </c>
      <c r="P779" s="13" t="s">
        <v>35</v>
      </c>
      <c r="Q779" s="13" t="s">
        <v>35</v>
      </c>
      <c r="R779" s="37" t="s">
        <v>162</v>
      </c>
      <c r="S779" s="15"/>
    </row>
    <row r="780" spans="1:19" x14ac:dyDescent="0.3">
      <c r="A780" s="29" t="e">
        <f>IF(C780="","",MAX($A$2:A779)+1)</f>
        <v>#REF!</v>
      </c>
      <c r="B780" s="41" t="s">
        <v>36</v>
      </c>
      <c r="C780" s="33">
        <v>46111</v>
      </c>
      <c r="D780" s="34" t="str">
        <f>_xlfn.XLOOKUP([1]!Table134526_79101120212223242526[[#This Row],[Name Surname]],[1]Manpower!$C$4:$C$1048576,[1]Manpower!$B$4:$B$1048576,"")</f>
        <v>Al Jaber Heavy Lift</v>
      </c>
      <c r="E780" s="34" t="s">
        <v>120</v>
      </c>
      <c r="F780" s="4">
        <f>_xlfn.XLOOKUP([1]!Table134526_79101120212223242526[[#This Row],[Name Surname]],[1]Manpower!C:C,[1]Manpower!D:D,)</f>
        <v>112778626</v>
      </c>
      <c r="G780" s="34" t="str">
        <f>_xlfn.XLOOKUP([1]!Table134526_79101120212223242526[[#This Row],[Name Surname]],[1]Manpower!$C$4:$C$1048576,[1]Manpower!$F$4:$F$1048576,"")</f>
        <v>Crane Operator-150T Hitachi Crawler</v>
      </c>
      <c r="H780" s="34" t="str">
        <f>_xlfn.XLOOKUP([1]!Table134526_79101120212223242526[[#This Row],[Name Surname]],[1]Manpower!$C$4:$C$1048576,[1]Manpower!$H$4:$H$1048576,"")</f>
        <v>Manpower</v>
      </c>
      <c r="I780" s="5" t="str">
        <f>_xlfn.XLOOKUP([1]!Table134526_79101120212223242526[[#This Row],[Name Surname]],[1]Manpower!$C$4:$C$1048576,[1]Manpower!$H$4:$H$1048576,"")</f>
        <v>Manpower</v>
      </c>
      <c r="J780" s="5" t="s">
        <v>23</v>
      </c>
      <c r="K780" s="34" t="s">
        <v>153</v>
      </c>
      <c r="L780" s="34" t="s">
        <v>25</v>
      </c>
      <c r="M780" s="34" t="s">
        <v>5</v>
      </c>
      <c r="N780" s="35">
        <v>10</v>
      </c>
      <c r="O780" s="5" t="s">
        <v>35</v>
      </c>
      <c r="P780" s="5" t="s">
        <v>35</v>
      </c>
      <c r="Q780" s="5" t="s">
        <v>35</v>
      </c>
      <c r="R780" s="34" t="s">
        <v>162</v>
      </c>
      <c r="S780" s="8"/>
    </row>
    <row r="781" spans="1:19" x14ac:dyDescent="0.3">
      <c r="A781" s="28" t="e">
        <f>IF(C781="","",MAX($A$2:A780)+1)</f>
        <v>#REF!</v>
      </c>
      <c r="B781" s="41" t="s">
        <v>36</v>
      </c>
      <c r="C781" s="36">
        <v>46111</v>
      </c>
      <c r="D781" s="37" t="str">
        <f>_xlfn.XLOOKUP([1]!Table134526_79101120212223242526[[#This Row],[Name Surname]],[1]Manpower!$C$4:$C$1048576,[1]Manpower!$B$4:$B$1048576,"")</f>
        <v>Encogroup</v>
      </c>
      <c r="E781" s="37" t="s">
        <v>43</v>
      </c>
      <c r="F781" s="12" t="str">
        <f>_xlfn.XLOOKUP([1]!Table134526_79101120212223242526[[#This Row],[Name Surname]],[1]Manpower!C:C,[1]Manpower!D:D,)</f>
        <v>U4181508</v>
      </c>
      <c r="G781" s="37" t="str">
        <f>_xlfn.XLOOKUP([1]!Table134526_79101120212223242526[[#This Row],[Name Surname]],[1]Manpower!$C$4:$C$1048576,[1]Manpower!$F$4:$F$1048576,"")</f>
        <v>Welder</v>
      </c>
      <c r="H781" s="37" t="str">
        <f>_xlfn.XLOOKUP([1]!Table134526_79101120212223242526[[#This Row],[Name Surname]],[1]Manpower!$C$4:$C$1048576,[1]Manpower!$H$4:$H$1048576,"")</f>
        <v>Manpower</v>
      </c>
      <c r="I781" s="13" t="str">
        <f>_xlfn.XLOOKUP([1]!Table134526_79101120212223242526[[#This Row],[Name Surname]],[1]Manpower!$C$4:$C$1048576,[1]Manpower!$H$4:$H$1048576,"")</f>
        <v>Manpower</v>
      </c>
      <c r="J781" s="13" t="s">
        <v>38</v>
      </c>
      <c r="K781" s="37" t="s">
        <v>7</v>
      </c>
      <c r="L781" s="37" t="s">
        <v>156</v>
      </c>
      <c r="M781" s="37" t="s">
        <v>5</v>
      </c>
      <c r="N781" s="38">
        <v>10</v>
      </c>
      <c r="O781" s="13" t="s">
        <v>11</v>
      </c>
      <c r="P781" s="13" t="s">
        <v>13</v>
      </c>
      <c r="Q781" s="13" t="s">
        <v>13</v>
      </c>
      <c r="R781" s="37" t="s">
        <v>163</v>
      </c>
      <c r="S781" s="15"/>
    </row>
    <row r="782" spans="1:19" x14ac:dyDescent="0.3">
      <c r="A782" s="29" t="e">
        <f>IF(C782="","",MAX($A$2:A781)+1)</f>
        <v>#REF!</v>
      </c>
      <c r="B782" s="41" t="s">
        <v>36</v>
      </c>
      <c r="C782" s="33">
        <v>46111</v>
      </c>
      <c r="D782" s="5" t="str">
        <f>_xlfn.XLOOKUP([1]!Table134526_79101120212223242526[[#This Row],[Name Surname]],[1]Manpower!$C$4:$C$1048576,[1]Manpower!$B$4:$B$1048576,"")</f>
        <v>Encogroup</v>
      </c>
      <c r="E782" s="5" t="s">
        <v>1</v>
      </c>
      <c r="F782" s="4">
        <f>_xlfn.XLOOKUP([1]!Table134526_79101120212223242526[[#This Row],[Name Surname]],[1]Manpower!C:C,[1]Manpower!D:D,)</f>
        <v>125440631</v>
      </c>
      <c r="G782" s="5" t="str">
        <f>_xlfn.XLOOKUP([1]!Table134526_79101120212223242526[[#This Row],[Name Surname]],[1]Manpower!$C$4:$C$1048576,[1]Manpower!$F$4:$F$1048576,"")</f>
        <v>Rigger</v>
      </c>
      <c r="H782" s="5" t="str">
        <f>_xlfn.XLOOKUP([1]!Table134526_79101120212223242526[[#This Row],[Name Surname]],[1]Manpower!$C$4:$C$1048576,[1]Manpower!$H$4:$H$1048576,"")</f>
        <v>Manpower</v>
      </c>
      <c r="I782" s="5" t="str">
        <f>_xlfn.XLOOKUP([1]!Table134526_79101120212223242526[[#This Row],[Name Surname]],[1]Manpower!$C$4:$C$1048576,[1]Manpower!$H$4:$H$1048576,"")</f>
        <v>Manpower</v>
      </c>
      <c r="J782" s="5" t="s">
        <v>38</v>
      </c>
      <c r="K782" s="5"/>
      <c r="L782" s="34" t="s">
        <v>156</v>
      </c>
      <c r="M782" s="34" t="s">
        <v>5</v>
      </c>
      <c r="N782" s="35">
        <v>10</v>
      </c>
      <c r="O782" s="5" t="s">
        <v>11</v>
      </c>
      <c r="P782" s="5" t="s">
        <v>13</v>
      </c>
      <c r="Q782" s="5" t="s">
        <v>13</v>
      </c>
      <c r="R782" s="34" t="s">
        <v>163</v>
      </c>
      <c r="S782" s="8"/>
    </row>
    <row r="783" spans="1:19" x14ac:dyDescent="0.3">
      <c r="A783" s="28" t="e">
        <f>IF(C783="","",MAX($A$2:A782)+1)</f>
        <v>#REF!</v>
      </c>
      <c r="B783" s="41" t="s">
        <v>36</v>
      </c>
      <c r="C783" s="36">
        <v>46111</v>
      </c>
      <c r="D783" s="13" t="str">
        <f>_xlfn.XLOOKUP([1]!Table134526_79101120212223242526[[#This Row],[Name Surname]],[1]Manpower!$C$4:$C$1048576,[1]Manpower!$B$4:$B$1048576,"")</f>
        <v>AL Omar International TRAD AND CONT</v>
      </c>
      <c r="E783" s="13" t="s">
        <v>158</v>
      </c>
      <c r="F783" s="12">
        <f>_xlfn.XLOOKUP([1]!Table134526_79101120212223242526[[#This Row],[Name Surname]],[1]Manpower!C:C,[1]Manpower!D:D,)</f>
        <v>115731078</v>
      </c>
      <c r="G783" s="13" t="str">
        <f>_xlfn.XLOOKUP([1]!Table134526_79101120212223242526[[#This Row],[Name Surname]],[1]Manpower!$C$4:$C$1048576,[1]Manpower!$F$4:$F$1048576,"")</f>
        <v>Scaffolder</v>
      </c>
      <c r="H783" s="13" t="str">
        <f>_xlfn.XLOOKUP([1]!Table134526_79101120212223242526[[#This Row],[Name Surname]],[1]Manpower!$C$4:$C$1048576,[1]Manpower!$H$4:$H$1048576,"")</f>
        <v>Sub Contactor</v>
      </c>
      <c r="I783" s="13" t="str">
        <f>_xlfn.XLOOKUP([1]!Table134526_79101120212223242526[[#This Row],[Name Surname]],[1]Manpower!$C$4:$C$1048576,[1]Manpower!$H$4:$H$1048576,"")</f>
        <v>Sub Contactor</v>
      </c>
      <c r="J783" s="13" t="s">
        <v>38</v>
      </c>
      <c r="K783" s="13"/>
      <c r="L783" s="13" t="s">
        <v>39</v>
      </c>
      <c r="M783" s="13" t="s">
        <v>18</v>
      </c>
      <c r="N783" s="14">
        <v>10</v>
      </c>
      <c r="O783" s="13"/>
      <c r="P783" s="13"/>
      <c r="Q783" s="13"/>
      <c r="R783" s="13" t="s">
        <v>159</v>
      </c>
      <c r="S783" s="15"/>
    </row>
    <row r="784" spans="1:19" x14ac:dyDescent="0.3">
      <c r="A784" s="29" t="e">
        <f>IF(C784="","",MAX($A$2:A783)+1)</f>
        <v>#REF!</v>
      </c>
      <c r="B784" s="41" t="s">
        <v>36</v>
      </c>
      <c r="C784" s="33">
        <v>46111</v>
      </c>
      <c r="D784" s="34" t="str">
        <f>_xlfn.XLOOKUP([1]!Table134526_79101120212223242526[[#This Row],[Name Surname]],[1]Manpower!$C$4:$C$1048576,[1]Manpower!$B$4:$B$1048576,"")</f>
        <v>Encogroup</v>
      </c>
      <c r="E784" s="34" t="s">
        <v>37</v>
      </c>
      <c r="F784" s="4">
        <f>_xlfn.XLOOKUP([1]!Table134526_79101120212223242526[[#This Row],[Name Surname]],[1]Manpower!C:C,[1]Manpower!D:D,)</f>
        <v>140764355</v>
      </c>
      <c r="G784" s="34" t="str">
        <f>_xlfn.XLOOKUP([1]!Table134526_79101120212223242526[[#This Row],[Name Surname]],[1]Manpower!$C$4:$C$1048576,[1]Manpower!$F$4:$F$1048576,"")</f>
        <v>Fitter/Erector</v>
      </c>
      <c r="H784" s="34" t="str">
        <f>_xlfn.XLOOKUP([1]!Table134526_79101120212223242526[[#This Row],[Name Surname]],[1]Manpower!$C$4:$C$1048576,[1]Manpower!$H$4:$H$1048576,"")</f>
        <v>Manpower</v>
      </c>
      <c r="I784" s="5" t="str">
        <f>_xlfn.XLOOKUP([1]!Table134526_79101120212223242526[[#This Row],[Name Surname]],[1]Manpower!$C$4:$C$1048576,[1]Manpower!$H$4:$H$1048576,"")</f>
        <v>Manpower</v>
      </c>
      <c r="J784" s="5" t="s">
        <v>38</v>
      </c>
      <c r="K784" s="34" t="s">
        <v>7</v>
      </c>
      <c r="L784" s="34" t="s">
        <v>156</v>
      </c>
      <c r="M784" s="34" t="s">
        <v>5</v>
      </c>
      <c r="N784" s="35">
        <v>10</v>
      </c>
      <c r="O784" s="5" t="s">
        <v>11</v>
      </c>
      <c r="P784" s="5" t="s">
        <v>13</v>
      </c>
      <c r="Q784" s="5" t="s">
        <v>13</v>
      </c>
      <c r="R784" s="34" t="s">
        <v>163</v>
      </c>
      <c r="S784" s="8"/>
    </row>
    <row r="785" spans="1:19" x14ac:dyDescent="0.3">
      <c r="A785" s="28" t="e">
        <f>IF(C785="","",MAX($A$2:A784)+1)</f>
        <v>#REF!</v>
      </c>
      <c r="B785" s="41" t="s">
        <v>36</v>
      </c>
      <c r="C785" s="36">
        <v>46111</v>
      </c>
      <c r="D785" s="13" t="str">
        <f>_xlfn.XLOOKUP([1]!Table134526_79101120212223242526[[#This Row],[Name Surname]],[1]Manpower!$C$4:$C$1048576,[1]Manpower!$B$4:$B$1048576,"")</f>
        <v>Encogroup</v>
      </c>
      <c r="E785" s="13" t="s">
        <v>40</v>
      </c>
      <c r="F785" s="12" t="str">
        <f>_xlfn.XLOOKUP([1]!Table134526_79101120212223242526[[#This Row],[Name Surname]],[1]Manpower!C:C,[1]Manpower!D:D,)</f>
        <v>S3549132</v>
      </c>
      <c r="G785" s="13" t="str">
        <f>_xlfn.XLOOKUP([1]!Table134526_79101120212223242526[[#This Row],[Name Surname]],[1]Manpower!$C$4:$C$1048576,[1]Manpower!$F$4:$F$1048576,"")</f>
        <v>Grinder</v>
      </c>
      <c r="H785" s="13" t="str">
        <f>_xlfn.XLOOKUP([1]!Table134526_79101120212223242526[[#This Row],[Name Surname]],[1]Manpower!$C$4:$C$1048576,[1]Manpower!$H$4:$H$1048576,"")</f>
        <v>Manpower</v>
      </c>
      <c r="I785" s="13" t="str">
        <f>_xlfn.XLOOKUP([1]!Table134526_79101120212223242526[[#This Row],[Name Surname]],[1]Manpower!$C$4:$C$1048576,[1]Manpower!$H$4:$H$1048576,"")</f>
        <v>Manpower</v>
      </c>
      <c r="J785" s="13" t="s">
        <v>38</v>
      </c>
      <c r="K785" s="37" t="s">
        <v>7</v>
      </c>
      <c r="L785" s="37" t="s">
        <v>156</v>
      </c>
      <c r="M785" s="37" t="s">
        <v>5</v>
      </c>
      <c r="N785" s="38">
        <v>10</v>
      </c>
      <c r="O785" s="13" t="s">
        <v>11</v>
      </c>
      <c r="P785" s="13" t="s">
        <v>13</v>
      </c>
      <c r="Q785" s="13" t="s">
        <v>13</v>
      </c>
      <c r="R785" s="37" t="s">
        <v>163</v>
      </c>
      <c r="S785" s="15"/>
    </row>
    <row r="786" spans="1:19" x14ac:dyDescent="0.3">
      <c r="A786" s="29" t="e">
        <f>IF(C786="","",MAX($A$2:A785)+1)</f>
        <v>#REF!</v>
      </c>
      <c r="B786" s="41" t="s">
        <v>36</v>
      </c>
      <c r="C786" s="33">
        <v>46111</v>
      </c>
      <c r="D786" s="5" t="str">
        <f>_xlfn.XLOOKUP([1]!Table134526_79101120212223242526[[#This Row],[Name Surname]],[1]Manpower!$C$4:$C$1048576,[1]Manpower!$B$4:$B$1048576,"")</f>
        <v>Encogroup</v>
      </c>
      <c r="E786" s="5" t="s">
        <v>164</v>
      </c>
      <c r="F786" s="4">
        <f>_xlfn.XLOOKUP([1]!Table134526_79101120212223242526[[#This Row],[Name Surname]],[1]Manpower!C:C,[1]Manpower!D:D,)</f>
        <v>140742125</v>
      </c>
      <c r="G786" s="5" t="str">
        <f>_xlfn.XLOOKUP([1]!Table134526_79101120212223242526[[#This Row],[Name Surname]],[1]Manpower!$C$4:$C$1048576,[1]Manpower!$F$4:$F$1048576,"")</f>
        <v>Assistant/Helper</v>
      </c>
      <c r="H786" s="5" t="str">
        <f>_xlfn.XLOOKUP([1]!Table134526_79101120212223242526[[#This Row],[Name Surname]],[1]Manpower!$C$4:$C$1048576,[1]Manpower!$H$4:$H$1048576,"")</f>
        <v>Manpower</v>
      </c>
      <c r="I786" s="5" t="str">
        <f>_xlfn.XLOOKUP([1]!Table134526_79101120212223242526[[#This Row],[Name Surname]],[1]Manpower!$C$4:$C$1048576,[1]Manpower!$H$4:$H$1048576,"")</f>
        <v>Manpower</v>
      </c>
      <c r="J786" s="5" t="s">
        <v>38</v>
      </c>
      <c r="K786" s="34" t="s">
        <v>7</v>
      </c>
      <c r="L786" s="34" t="s">
        <v>156</v>
      </c>
      <c r="M786" s="34" t="s">
        <v>5</v>
      </c>
      <c r="N786" s="35">
        <v>10</v>
      </c>
      <c r="O786" s="5" t="s">
        <v>11</v>
      </c>
      <c r="P786" s="5" t="s">
        <v>13</v>
      </c>
      <c r="Q786" s="5" t="s">
        <v>13</v>
      </c>
      <c r="R786" s="34" t="s">
        <v>163</v>
      </c>
      <c r="S786" s="8"/>
    </row>
    <row r="787" spans="1:19" x14ac:dyDescent="0.3">
      <c r="A787" s="28" t="e">
        <f>IF(C787="","",MAX($A$2:A785)+1)</f>
        <v>#REF!</v>
      </c>
      <c r="B787" s="41" t="s">
        <v>36</v>
      </c>
      <c r="C787" s="36">
        <v>46111</v>
      </c>
      <c r="D787" s="13" t="str">
        <f>_xlfn.XLOOKUP([1]!Table134526_79101120212223242526[[#This Row],[Name Surname]],[1]Manpower!$C$4:$C$1048576,[1]Manpower!$B$4:$B$1048576,"")</f>
        <v>Encogroup</v>
      </c>
      <c r="E787" s="13" t="s">
        <v>165</v>
      </c>
      <c r="F787" s="12">
        <f>_xlfn.XLOOKUP([1]!Table134526_79101120212223242526[[#This Row],[Name Surname]],[1]Manpower!C:C,[1]Manpower!D:D,)</f>
        <v>125199963</v>
      </c>
      <c r="G787" s="13" t="str">
        <f>_xlfn.XLOOKUP([1]!Table134526_79101120212223242526[[#This Row],[Name Surname]],[1]Manpower!$C$4:$C$1048576,[1]Manpower!$F$4:$F$1048576,"")</f>
        <v>Electrician</v>
      </c>
      <c r="H787" s="13" t="str">
        <f>_xlfn.XLOOKUP([1]!Table134526_79101120212223242526[[#This Row],[Name Surname]],[1]Manpower!$C$4:$C$1048576,[1]Manpower!$H$4:$H$1048576,"")</f>
        <v>Manpower</v>
      </c>
      <c r="I787" s="13" t="str">
        <f>_xlfn.XLOOKUP([1]!Table134526_79101120212223242526[[#This Row],[Name Surname]],[1]Manpower!$C$4:$C$1048576,[1]Manpower!$H$4:$H$1048576,"")</f>
        <v>Manpower</v>
      </c>
      <c r="J787" s="13" t="s">
        <v>38</v>
      </c>
      <c r="K787" s="37" t="s">
        <v>7</v>
      </c>
      <c r="L787" s="37" t="s">
        <v>156</v>
      </c>
      <c r="M787" s="37" t="s">
        <v>5</v>
      </c>
      <c r="N787" s="38">
        <v>10</v>
      </c>
      <c r="O787" s="13" t="s">
        <v>11</v>
      </c>
      <c r="P787" s="13" t="s">
        <v>13</v>
      </c>
      <c r="Q787" s="13" t="s">
        <v>13</v>
      </c>
      <c r="R787" s="37" t="s">
        <v>163</v>
      </c>
      <c r="S787" s="15"/>
    </row>
    <row r="788" spans="1:19" x14ac:dyDescent="0.3">
      <c r="A788" s="29" t="e">
        <f>IF(C788="","",MAX($A$2:A785)+1)</f>
        <v>#REF!</v>
      </c>
      <c r="B788" s="41" t="s">
        <v>36</v>
      </c>
      <c r="C788" s="33">
        <v>46111</v>
      </c>
      <c r="D788" s="5" t="str">
        <f>_xlfn.XLOOKUP([1]!Table134526_79101120212223242526[[#This Row],[Name Surname]],[1]Manpower!$C$4:$C$1048576,[1]Manpower!$B$4:$B$1048576,"")</f>
        <v>Encogroup</v>
      </c>
      <c r="E788" s="5" t="s">
        <v>166</v>
      </c>
      <c r="F788" s="4">
        <f>_xlfn.XLOOKUP([1]!Table134526_79101120212223242526[[#This Row],[Name Surname]],[1]Manpower!C:C,[1]Manpower!D:D,)</f>
        <v>124398279</v>
      </c>
      <c r="G788" s="5" t="str">
        <f>_xlfn.XLOOKUP([1]!Table134526_79101120212223242526[[#This Row],[Name Surname]],[1]Manpower!$C$4:$C$1048576,[1]Manpower!$F$4:$F$1048576,"")</f>
        <v>Permit Receiver</v>
      </c>
      <c r="H788" s="5" t="str">
        <f>_xlfn.XLOOKUP([1]!Table134526_79101120212223242526[[#This Row],[Name Surname]],[1]Manpower!$C$4:$C$1048576,[1]Manpower!$H$4:$H$1048576,"")</f>
        <v>Manpower</v>
      </c>
      <c r="I788" s="5" t="str">
        <f>_xlfn.XLOOKUP([1]!Table134526_79101120212223242526[[#This Row],[Name Surname]],[1]Manpower!$C$4:$C$1048576,[1]Manpower!$H$4:$H$1048576,"")</f>
        <v>Manpower</v>
      </c>
      <c r="J788" s="5" t="s">
        <v>38</v>
      </c>
      <c r="K788" s="34" t="s">
        <v>7</v>
      </c>
      <c r="L788" s="34" t="s">
        <v>156</v>
      </c>
      <c r="M788" s="34" t="s">
        <v>18</v>
      </c>
      <c r="N788" s="35">
        <v>10</v>
      </c>
      <c r="O788" s="5"/>
      <c r="P788" s="5"/>
      <c r="Q788" s="5"/>
      <c r="R788" s="34" t="s">
        <v>19</v>
      </c>
      <c r="S788" s="8"/>
    </row>
    <row r="789" spans="1:19" x14ac:dyDescent="0.3">
      <c r="A789" s="28" t="e">
        <f>IF(C789="","",MAX($A$2:A785)+1)</f>
        <v>#REF!</v>
      </c>
      <c r="B789" s="41" t="s">
        <v>36</v>
      </c>
      <c r="C789" s="36">
        <v>46111</v>
      </c>
      <c r="D789" s="37" t="str">
        <f>_xlfn.XLOOKUP([1]!Table134526_79101120212223242526[[#This Row],[Name Surname]],[1]Manpower!$C$4:$C$1048576,[1]Manpower!$B$4:$B$1048576,"")</f>
        <v>Encogroup</v>
      </c>
      <c r="E789" s="37" t="s">
        <v>45</v>
      </c>
      <c r="F789" s="12">
        <f>_xlfn.XLOOKUP([1]!Table134526_79101120212223242526[[#This Row],[Name Surname]],[1]Manpower!C:C,[1]Manpower!D:D,)</f>
        <v>140809004</v>
      </c>
      <c r="G789" s="37" t="str">
        <f>_xlfn.XLOOKUP([1]!Table134526_79101120212223242526[[#This Row],[Name Surname]],[1]Manpower!$C$4:$C$1048576,[1]Manpower!$F$4:$F$1048576,"")</f>
        <v>Fitter/Erector</v>
      </c>
      <c r="H789" s="37" t="str">
        <f>_xlfn.XLOOKUP([1]!Table134526_79101120212223242526[[#This Row],[Name Surname]],[1]Manpower!$C$4:$C$1048576,[1]Manpower!$H$4:$H$1048576,"")</f>
        <v>Manpower</v>
      </c>
      <c r="I789" s="13" t="str">
        <f>_xlfn.XLOOKUP([1]!Table134526_79101120212223242526[[#This Row],[Name Surname]],[1]Manpower!$C$4:$C$1048576,[1]Manpower!$H$4:$H$1048576,"")</f>
        <v>Manpower</v>
      </c>
      <c r="J789" s="13" t="s">
        <v>38</v>
      </c>
      <c r="K789" s="37" t="s">
        <v>7</v>
      </c>
      <c r="L789" s="37" t="s">
        <v>156</v>
      </c>
      <c r="M789" s="37" t="s">
        <v>5</v>
      </c>
      <c r="N789" s="38">
        <v>10</v>
      </c>
      <c r="O789" s="13" t="s">
        <v>11</v>
      </c>
      <c r="P789" s="13" t="s">
        <v>13</v>
      </c>
      <c r="Q789" s="13" t="s">
        <v>13</v>
      </c>
      <c r="R789" s="37" t="s">
        <v>163</v>
      </c>
      <c r="S789" s="15"/>
    </row>
    <row r="790" spans="1:19" x14ac:dyDescent="0.3">
      <c r="A790" s="29" t="e">
        <f>IF(C790="","",MAX($A$2:A789)+1)</f>
        <v>#REF!</v>
      </c>
      <c r="B790" s="41" t="s">
        <v>36</v>
      </c>
      <c r="C790" s="33">
        <v>46111</v>
      </c>
      <c r="D790" s="34" t="str">
        <f>_xlfn.XLOOKUP([1]!Table134526_79101120212223242526[[#This Row],[Name Surname]],[1]Manpower!$C$4:$C$1048576,[1]Manpower!$B$4:$B$1048576,"")</f>
        <v>Encogroup</v>
      </c>
      <c r="E790" s="34" t="s">
        <v>48</v>
      </c>
      <c r="F790" s="4">
        <f>_xlfn.XLOOKUP([1]!Table134526_79101120212223242526[[#This Row],[Name Surname]],[1]Manpower!C:C,[1]Manpower!D:D,)</f>
        <v>140683436</v>
      </c>
      <c r="G790" s="34" t="str">
        <f>_xlfn.XLOOKUP([1]!Table134526_79101120212223242526[[#This Row],[Name Surname]],[1]Manpower!$C$4:$C$1048576,[1]Manpower!$F$4:$F$1048576,"")</f>
        <v>Scaffolder</v>
      </c>
      <c r="H790" s="34" t="str">
        <f>_xlfn.XLOOKUP([1]!Table134526_79101120212223242526[[#This Row],[Name Surname]],[1]Manpower!$C$4:$C$1048576,[1]Manpower!$H$4:$H$1048576,"")</f>
        <v>Manpower</v>
      </c>
      <c r="I790" s="5" t="str">
        <f>_xlfn.XLOOKUP([1]!Table134526_79101120212223242526[[#This Row],[Name Surname]],[1]Manpower!$C$4:$C$1048576,[1]Manpower!$H$4:$H$1048576,"")</f>
        <v>Manpower</v>
      </c>
      <c r="J790" s="5" t="s">
        <v>38</v>
      </c>
      <c r="K790" s="34" t="s">
        <v>7</v>
      </c>
      <c r="L790" s="34" t="s">
        <v>156</v>
      </c>
      <c r="M790" s="34" t="s">
        <v>5</v>
      </c>
      <c r="N790" s="35">
        <v>10</v>
      </c>
      <c r="O790" s="5" t="s">
        <v>11</v>
      </c>
      <c r="P790" s="5" t="s">
        <v>13</v>
      </c>
      <c r="Q790" s="5" t="s">
        <v>13</v>
      </c>
      <c r="R790" s="34" t="s">
        <v>163</v>
      </c>
      <c r="S790" s="8"/>
    </row>
    <row r="791" spans="1:19" x14ac:dyDescent="0.3">
      <c r="A791" s="28" t="e">
        <f>IF(C791="","",MAX($A$2:A790)+1)</f>
        <v>#REF!</v>
      </c>
      <c r="B791" s="41" t="s">
        <v>36</v>
      </c>
      <c r="C791" s="36">
        <v>46111</v>
      </c>
      <c r="D791" s="37" t="str">
        <f>_xlfn.XLOOKUP([1]!Table134526_79101120212223242526[[#This Row],[Name Surname]],[1]Manpower!$C$4:$C$1048576,[1]Manpower!$B$4:$B$1048576,"")</f>
        <v>Encogroup</v>
      </c>
      <c r="E791" s="37" t="s">
        <v>49</v>
      </c>
      <c r="F791" s="12" t="e">
        <f>_xlfn.XLOOKUP([1]!Table134526_79101120212223242526[[#This Row],[Name Surname]],[1]Manpower!C:C,[1]Manpower!D:D,)</f>
        <v>#N/A</v>
      </c>
      <c r="G791" s="37" t="str">
        <f>_xlfn.XLOOKUP([1]!Table134526_79101120212223242526[[#This Row],[Name Surname]],[1]Manpower!$C$4:$C$1048576,[1]Manpower!$F$4:$F$1048576,"")</f>
        <v>7T-HIAB</v>
      </c>
      <c r="H791" s="37" t="str">
        <f>_xlfn.XLOOKUP([1]!Table134526_79101120212223242526[[#This Row],[Name Surname]],[1]Manpower!$C$4:$C$1048576,[1]Manpower!$H$4:$H$1048576,"")</f>
        <v>Equipment</v>
      </c>
      <c r="I791" s="13" t="str">
        <f>_xlfn.XLOOKUP([1]!Table134526_79101120212223242526[[#This Row],[Name Surname]],[1]Manpower!$C$4:$C$1048576,[1]Manpower!$H$4:$H$1048576,"")</f>
        <v>Equipment</v>
      </c>
      <c r="J791" s="13" t="s">
        <v>38</v>
      </c>
      <c r="K791" s="37" t="s">
        <v>7</v>
      </c>
      <c r="L791" s="37" t="s">
        <v>156</v>
      </c>
      <c r="M791" s="37" t="s">
        <v>5</v>
      </c>
      <c r="N791" s="38">
        <v>10</v>
      </c>
      <c r="O791" s="13" t="s">
        <v>11</v>
      </c>
      <c r="P791" s="13" t="s">
        <v>13</v>
      </c>
      <c r="Q791" s="13" t="s">
        <v>13</v>
      </c>
      <c r="R791" s="37" t="s">
        <v>163</v>
      </c>
      <c r="S791" s="15"/>
    </row>
    <row r="792" spans="1:19" x14ac:dyDescent="0.3">
      <c r="A792" s="29" t="e">
        <f>IF(C792="","",MAX($A$2:A791)+1)</f>
        <v>#REF!</v>
      </c>
      <c r="B792" s="41" t="s">
        <v>36</v>
      </c>
      <c r="C792" s="33">
        <v>46111</v>
      </c>
      <c r="D792" s="34" t="str">
        <f>_xlfn.XLOOKUP([1]!Table134526_79101120212223242526[[#This Row],[Name Surname]],[1]Manpower!$C$4:$C$1048576,[1]Manpower!$B$4:$B$1048576,"")</f>
        <v>Encogroup</v>
      </c>
      <c r="E792" s="34" t="s">
        <v>50</v>
      </c>
      <c r="F792" s="4">
        <f>_xlfn.XLOOKUP([1]!Table134526_79101120212223242526[[#This Row],[Name Surname]],[1]Manpower!C:C,[1]Manpower!D:D,)</f>
        <v>9138415</v>
      </c>
      <c r="G792" s="34" t="str">
        <f>_xlfn.XLOOKUP([1]!Table134526_79101120212223242526[[#This Row],[Name Surname]],[1]Manpower!$C$4:$C$1048576,[1]Manpower!$F$4:$F$1048576,"")</f>
        <v>HIAB Driver</v>
      </c>
      <c r="H792" s="34" t="str">
        <f>_xlfn.XLOOKUP([1]!Table134526_79101120212223242526[[#This Row],[Name Surname]],[1]Manpower!$C$4:$C$1048576,[1]Manpower!$H$4:$H$1048576,"")</f>
        <v>Manpower</v>
      </c>
      <c r="I792" s="5" t="str">
        <f>_xlfn.XLOOKUP([1]!Table134526_79101120212223242526[[#This Row],[Name Surname]],[1]Manpower!$C$4:$C$1048576,[1]Manpower!$H$4:$H$1048576,"")</f>
        <v>Manpower</v>
      </c>
      <c r="J792" s="5" t="s">
        <v>38</v>
      </c>
      <c r="K792" s="34" t="s">
        <v>7</v>
      </c>
      <c r="L792" s="34" t="s">
        <v>156</v>
      </c>
      <c r="M792" s="34" t="s">
        <v>5</v>
      </c>
      <c r="N792" s="35">
        <v>10</v>
      </c>
      <c r="O792" s="5" t="s">
        <v>11</v>
      </c>
      <c r="P792" s="5" t="s">
        <v>13</v>
      </c>
      <c r="Q792" s="5" t="s">
        <v>13</v>
      </c>
      <c r="R792" s="34" t="s">
        <v>163</v>
      </c>
      <c r="S792" s="8"/>
    </row>
    <row r="793" spans="1:19" x14ac:dyDescent="0.3">
      <c r="A793" s="28" t="e">
        <f>IF(C793="","",MAX($A$2:A792)+1)</f>
        <v>#REF!</v>
      </c>
      <c r="B793" s="41" t="s">
        <v>36</v>
      </c>
      <c r="C793" s="36">
        <v>46111</v>
      </c>
      <c r="D793" s="37" t="str">
        <f>_xlfn.XLOOKUP([1]!Table134526_79101120212223242526[[#This Row],[Name Surname]],[1]Manpower!$C$4:$C$1048576,[1]Manpower!$B$4:$B$1048576,"")</f>
        <v>GAF</v>
      </c>
      <c r="E793" s="11" t="s">
        <v>51</v>
      </c>
      <c r="F793" s="12">
        <f>_xlfn.XLOOKUP([1]!Table134526_79101120212223242526[[#This Row],[Name Surname]],[1]Manpower!C:C,[1]Manpower!D:D,)</f>
        <v>78785394</v>
      </c>
      <c r="G793" s="37" t="str">
        <f>_xlfn.XLOOKUP([1]!Table134526_79101120212223242526[[#This Row],[Name Surname]],[1]Manpower!$C$4:$C$1048576,[1]Manpower!$F$4:$F$1048576,"")</f>
        <v>Helper</v>
      </c>
      <c r="H793" s="37" t="str">
        <f>_xlfn.XLOOKUP([1]!Table134526_79101120212223242526[[#This Row],[Name Surname]],[1]Manpower!$C$4:$C$1048576,[1]Manpower!$H$4:$H$1048576,"")</f>
        <v>Sub Contactor</v>
      </c>
      <c r="I793" s="13" t="str">
        <f>_xlfn.XLOOKUP([1]!Table134526_79101120212223242526[[#This Row],[Name Surname]],[1]Manpower!$C$4:$C$1048576,[1]Manpower!$H$4:$H$1048576,"")</f>
        <v>Sub Contactor</v>
      </c>
      <c r="J793" s="13" t="s">
        <v>38</v>
      </c>
      <c r="K793" s="37" t="s">
        <v>7</v>
      </c>
      <c r="L793" s="37" t="s">
        <v>156</v>
      </c>
      <c r="M793" s="37" t="s">
        <v>18</v>
      </c>
      <c r="N793" s="38">
        <v>10</v>
      </c>
      <c r="O793" s="13" t="s">
        <v>11</v>
      </c>
      <c r="P793" s="13" t="s">
        <v>13</v>
      </c>
      <c r="Q793" s="13" t="s">
        <v>13</v>
      </c>
      <c r="R793" s="37" t="s">
        <v>19</v>
      </c>
      <c r="S793" s="15"/>
    </row>
    <row r="794" spans="1:19" x14ac:dyDescent="0.3">
      <c r="A794" s="29" t="e">
        <f>IF(C794="","",MAX($A$2:A793)+1)</f>
        <v>#REF!</v>
      </c>
      <c r="B794" s="41" t="s">
        <v>36</v>
      </c>
      <c r="C794" s="33">
        <v>46111</v>
      </c>
      <c r="D794" s="34" t="str">
        <f>_xlfn.XLOOKUP([1]!Table134526_79101120212223242526[[#This Row],[Name Surname]],[1]Manpower!$C$4:$C$1048576,[1]Manpower!$B$4:$B$1048576,"")</f>
        <v>Encogroup</v>
      </c>
      <c r="E794" s="33" t="s">
        <v>52</v>
      </c>
      <c r="F794" s="4">
        <f>_xlfn.XLOOKUP([1]!Table134526_79101120212223242526[[#This Row],[Name Surname]],[1]Manpower!C:C,[1]Manpower!D:D,)</f>
        <v>141359024</v>
      </c>
      <c r="G794" s="34" t="str">
        <f>_xlfn.XLOOKUP([1]!Table134526_79101120212223242526[[#This Row],[Name Surname]],[1]Manpower!$C$4:$C$1048576,[1]Manpower!$F$4:$F$1048576,"")</f>
        <v>Hydraulic Mechanic</v>
      </c>
      <c r="H794" s="34" t="str">
        <f>_xlfn.XLOOKUP([1]!Table134526_79101120212223242526[[#This Row],[Name Surname]],[1]Manpower!$C$4:$C$1048576,[1]Manpower!$H$4:$H$1048576,"")</f>
        <v>Manpower</v>
      </c>
      <c r="I794" s="5" t="str">
        <f>_xlfn.XLOOKUP([1]!Table134526_79101120212223242526[[#This Row],[Name Surname]],[1]Manpower!$C$4:$C$1048576,[1]Manpower!$H$4:$H$1048576,"")</f>
        <v>Manpower</v>
      </c>
      <c r="J794" s="5" t="s">
        <v>38</v>
      </c>
      <c r="K794" s="34" t="s">
        <v>7</v>
      </c>
      <c r="L794" s="34" t="s">
        <v>156</v>
      </c>
      <c r="M794" s="34" t="s">
        <v>5</v>
      </c>
      <c r="N794" s="35">
        <v>10</v>
      </c>
      <c r="O794" s="34"/>
      <c r="P794" s="34"/>
      <c r="Q794" s="34"/>
      <c r="R794" s="34" t="s">
        <v>163</v>
      </c>
      <c r="S794" s="8"/>
    </row>
    <row r="795" spans="1:19" x14ac:dyDescent="0.3">
      <c r="A795" s="28" t="e">
        <f>IF(C795="","",MAX($A$2:A794)+1)</f>
        <v>#REF!</v>
      </c>
      <c r="B795" s="41" t="s">
        <v>36</v>
      </c>
      <c r="C795" s="36">
        <v>46111</v>
      </c>
      <c r="D795" s="37" t="str">
        <f>_xlfn.XLOOKUP([1]!Table134526_79101120212223242526[[#This Row],[Name Surname]],[1]Manpower!$C$4:$C$1048576,[1]Manpower!$B$4:$B$1048576,"")</f>
        <v>Encogroup</v>
      </c>
      <c r="E795" s="37" t="s">
        <v>53</v>
      </c>
      <c r="F795" s="12">
        <f>_xlfn.XLOOKUP([1]!Table134526_79101120212223242526[[#This Row],[Name Surname]],[1]Manpower!C:C,[1]Manpower!D:D,)</f>
        <v>140844759</v>
      </c>
      <c r="G795" s="37" t="str">
        <f>_xlfn.XLOOKUP([1]!Table134526_79101120212223242526[[#This Row],[Name Surname]],[1]Manpower!$C$4:$C$1048576,[1]Manpower!$F$4:$F$1048576,"")</f>
        <v>Welder</v>
      </c>
      <c r="H795" s="37" t="str">
        <f>_xlfn.XLOOKUP([1]!Table134526_79101120212223242526[[#This Row],[Name Surname]],[1]Manpower!$C$4:$C$1048576,[1]Manpower!$H$4:$H$1048576,"")</f>
        <v>Manpower</v>
      </c>
      <c r="I795" s="13" t="str">
        <f>_xlfn.XLOOKUP([1]!Table134526_79101120212223242526[[#This Row],[Name Surname]],[1]Manpower!$C$4:$C$1048576,[1]Manpower!$H$4:$H$1048576,"")</f>
        <v>Manpower</v>
      </c>
      <c r="J795" s="13" t="s">
        <v>38</v>
      </c>
      <c r="K795" s="37" t="s">
        <v>7</v>
      </c>
      <c r="L795" s="37" t="s">
        <v>156</v>
      </c>
      <c r="M795" s="37" t="s">
        <v>5</v>
      </c>
      <c r="N795" s="38">
        <v>10</v>
      </c>
      <c r="O795" s="37"/>
      <c r="P795" s="37"/>
      <c r="Q795" s="37"/>
      <c r="R795" s="37" t="s">
        <v>163</v>
      </c>
      <c r="S795" s="15"/>
    </row>
    <row r="796" spans="1:19" x14ac:dyDescent="0.3">
      <c r="A796" s="29" t="e">
        <f>IF(C796="","",MAX($A$2:A795)+1)</f>
        <v>#REF!</v>
      </c>
      <c r="B796" s="41" t="s">
        <v>36</v>
      </c>
      <c r="C796" s="33">
        <v>46111</v>
      </c>
      <c r="D796" s="34" t="str">
        <f>_xlfn.XLOOKUP([1]!Table134526_79101120212223242526[[#This Row],[Name Surname]],[1]Manpower!$C$4:$C$1048576,[1]Manpower!$B$4:$B$1048576,"")</f>
        <v>Encogroup</v>
      </c>
      <c r="E796" s="34" t="s">
        <v>54</v>
      </c>
      <c r="F796" s="4">
        <f>_xlfn.XLOOKUP([1]!Table134526_79101120212223242526[[#This Row],[Name Surname]],[1]Manpower!C:C,[1]Manpower!D:D,)</f>
        <v>140848828</v>
      </c>
      <c r="G796" s="34" t="str">
        <f>_xlfn.XLOOKUP([1]!Table134526_79101120212223242526[[#This Row],[Name Surname]],[1]Manpower!$C$4:$C$1048576,[1]Manpower!$F$4:$F$1048576,"")</f>
        <v>Pipe Fitter</v>
      </c>
      <c r="H796" s="34" t="str">
        <f>_xlfn.XLOOKUP([1]!Table134526_79101120212223242526[[#This Row],[Name Surname]],[1]Manpower!$C$4:$C$1048576,[1]Manpower!$H$4:$H$1048576,"")</f>
        <v>Manpower</v>
      </c>
      <c r="I796" s="5" t="str">
        <f>_xlfn.XLOOKUP([1]!Table134526_79101120212223242526[[#This Row],[Name Surname]],[1]Manpower!$C$4:$C$1048576,[1]Manpower!$H$4:$H$1048576,"")</f>
        <v>Manpower</v>
      </c>
      <c r="J796" s="5" t="s">
        <v>38</v>
      </c>
      <c r="K796" s="34" t="s">
        <v>7</v>
      </c>
      <c r="L796" s="34" t="s">
        <v>156</v>
      </c>
      <c r="M796" s="34" t="s">
        <v>5</v>
      </c>
      <c r="N796" s="35">
        <v>10</v>
      </c>
      <c r="O796" s="34"/>
      <c r="P796" s="34"/>
      <c r="Q796" s="34"/>
      <c r="R796" s="34" t="s">
        <v>163</v>
      </c>
      <c r="S796" s="8"/>
    </row>
    <row r="797" spans="1:19" x14ac:dyDescent="0.3">
      <c r="A797" s="28" t="e">
        <f>IF(C797="","",MAX($A$2:A796)+1)</f>
        <v>#REF!</v>
      </c>
      <c r="B797" s="41" t="s">
        <v>36</v>
      </c>
      <c r="C797" s="36">
        <v>46111</v>
      </c>
      <c r="D797" s="37" t="str">
        <f>_xlfn.XLOOKUP([1]!Table134526_79101120212223242526[[#This Row],[Name Surname]],[1]Manpower!$C$4:$C$1048576,[1]Manpower!$B$4:$B$1048576,"")</f>
        <v>Encogroup</v>
      </c>
      <c r="E797" s="37" t="s">
        <v>55</v>
      </c>
      <c r="F797" s="12">
        <f>_xlfn.XLOOKUP([1]!Table134526_79101120212223242526[[#This Row],[Name Surname]],[1]Manpower!C:C,[1]Manpower!D:D,)</f>
        <v>140696961</v>
      </c>
      <c r="G797" s="37" t="str">
        <f>_xlfn.XLOOKUP([1]!Table134526_79101120212223242526[[#This Row],[Name Surname]],[1]Manpower!$C$4:$C$1048576,[1]Manpower!$F$4:$F$1048576,"")</f>
        <v>Assistant/Helper</v>
      </c>
      <c r="H797" s="37" t="str">
        <f>_xlfn.XLOOKUP([1]!Table134526_79101120212223242526[[#This Row],[Name Surname]],[1]Manpower!$C$4:$C$1048576,[1]Manpower!$H$4:$H$1048576,"")</f>
        <v>Manpower</v>
      </c>
      <c r="I797" s="13" t="str">
        <f>_xlfn.XLOOKUP([1]!Table134526_79101120212223242526[[#This Row],[Name Surname]],[1]Manpower!$C$4:$C$1048576,[1]Manpower!$H$4:$H$1048576,"")</f>
        <v>Manpower</v>
      </c>
      <c r="J797" s="13" t="s">
        <v>38</v>
      </c>
      <c r="K797" s="37" t="s">
        <v>7</v>
      </c>
      <c r="L797" s="37" t="s">
        <v>156</v>
      </c>
      <c r="M797" s="37" t="s">
        <v>5</v>
      </c>
      <c r="N797" s="38">
        <v>10</v>
      </c>
      <c r="O797" s="37"/>
      <c r="P797" s="37"/>
      <c r="Q797" s="37"/>
      <c r="R797" s="37" t="s">
        <v>163</v>
      </c>
      <c r="S797" s="15"/>
    </row>
    <row r="798" spans="1:19" x14ac:dyDescent="0.3">
      <c r="A798" s="29" t="e">
        <f>IF(C798="","",MAX($A$2:A797)+1)</f>
        <v>#REF!</v>
      </c>
      <c r="B798" s="41" t="s">
        <v>36</v>
      </c>
      <c r="C798" s="33">
        <v>46111</v>
      </c>
      <c r="D798" s="34" t="str">
        <f>_xlfn.XLOOKUP([1]!Table134526_79101120212223242526[[#This Row],[Name Surname]],[1]Manpower!$C$4:$C$1048576,[1]Manpower!$B$4:$B$1048576,"")</f>
        <v>Encogroup</v>
      </c>
      <c r="E798" s="34" t="s">
        <v>56</v>
      </c>
      <c r="F798" s="4">
        <f>_xlfn.XLOOKUP([1]!Table134526_79101120212223242526[[#This Row],[Name Surname]],[1]Manpower!C:C,[1]Manpower!D:D,)</f>
        <v>140623599</v>
      </c>
      <c r="G798" s="34" t="str">
        <f>_xlfn.XLOOKUP([1]!Table134526_79101120212223242526[[#This Row],[Name Surname]],[1]Manpower!$C$4:$C$1048576,[1]Manpower!$F$4:$F$1048576,"")</f>
        <v>Mechanical Supervisor</v>
      </c>
      <c r="H798" s="34" t="str">
        <f>_xlfn.XLOOKUP([1]!Table134526_79101120212223242526[[#This Row],[Name Surname]],[1]Manpower!$C$4:$C$1048576,[1]Manpower!$H$4:$H$1048576,"")</f>
        <v>Manpower</v>
      </c>
      <c r="I798" s="5" t="str">
        <f>_xlfn.XLOOKUP([1]!Table134526_79101120212223242526[[#This Row],[Name Surname]],[1]Manpower!$C$4:$C$1048576,[1]Manpower!$H$4:$H$1048576,"")</f>
        <v>Manpower</v>
      </c>
      <c r="J798" s="5" t="s">
        <v>38</v>
      </c>
      <c r="K798" s="34" t="s">
        <v>7</v>
      </c>
      <c r="L798" s="34" t="s">
        <v>156</v>
      </c>
      <c r="M798" s="34" t="s">
        <v>5</v>
      </c>
      <c r="N798" s="35">
        <v>10</v>
      </c>
      <c r="O798" s="34"/>
      <c r="P798" s="34"/>
      <c r="Q798" s="34"/>
      <c r="R798" s="34" t="s">
        <v>163</v>
      </c>
      <c r="S798" s="8"/>
    </row>
    <row r="799" spans="1:19" x14ac:dyDescent="0.3">
      <c r="A799" s="28" t="e">
        <f>IF(C799="","",MAX($A$2:A798)+1)</f>
        <v>#REF!</v>
      </c>
      <c r="B799" s="41" t="s">
        <v>36</v>
      </c>
      <c r="C799" s="36">
        <v>46111</v>
      </c>
      <c r="D799" s="37" t="str">
        <f>_xlfn.XLOOKUP([1]!Table134526_79101120212223242526[[#This Row],[Name Surname]],[1]Manpower!$C$4:$C$1048576,[1]Manpower!$B$4:$B$1048576,"")</f>
        <v>Encogroup</v>
      </c>
      <c r="E799" s="37" t="s">
        <v>111</v>
      </c>
      <c r="F799" s="12">
        <f>_xlfn.XLOOKUP([1]!Table134526_79101120212223242526[[#This Row],[Name Surname]],[1]Manpower!C:C,[1]Manpower!D:D,)</f>
        <v>140696975</v>
      </c>
      <c r="G799" s="37" t="str">
        <f>_xlfn.XLOOKUP([1]!Table134526_79101120212223242526[[#This Row],[Name Surname]],[1]Manpower!$C$4:$C$1048576,[1]Manpower!$F$4:$F$1048576,"")</f>
        <v>Assistant/Helper</v>
      </c>
      <c r="H799" s="37" t="str">
        <f>_xlfn.XLOOKUP([1]!Table134526_79101120212223242526[[#This Row],[Name Surname]],[1]Manpower!$C$4:$C$1048576,[1]Manpower!$H$4:$H$1048576,"")</f>
        <v>Manpower</v>
      </c>
      <c r="I799" s="13" t="str">
        <f>_xlfn.XLOOKUP([1]!Table134526_79101120212223242526[[#This Row],[Name Surname]],[1]Manpower!$C$4:$C$1048576,[1]Manpower!$H$4:$H$1048576,"")</f>
        <v>Manpower</v>
      </c>
      <c r="J799" s="13" t="s">
        <v>38</v>
      </c>
      <c r="K799" s="37" t="s">
        <v>7</v>
      </c>
      <c r="L799" s="37" t="s">
        <v>156</v>
      </c>
      <c r="M799" s="37" t="s">
        <v>18</v>
      </c>
      <c r="N799" s="38">
        <v>10</v>
      </c>
      <c r="O799" s="37"/>
      <c r="P799" s="37"/>
      <c r="Q799" s="37"/>
      <c r="R799" s="37" t="s">
        <v>19</v>
      </c>
      <c r="S799" s="15"/>
    </row>
    <row r="800" spans="1:19" x14ac:dyDescent="0.3">
      <c r="A800" s="29" t="e">
        <f>IF(C800="","",MAX($A$2:A799)+1)</f>
        <v>#REF!</v>
      </c>
      <c r="B800" s="41" t="s">
        <v>36</v>
      </c>
      <c r="C800" s="33">
        <v>46111</v>
      </c>
      <c r="D800" s="34" t="str">
        <f>_xlfn.XLOOKUP([1]!Table134526_79101120212223242526[[#This Row],[Name Surname]],[1]Manpower!$C$4:$C$1048576,[1]Manpower!$B$4:$B$1048576,"")</f>
        <v>Encogroup</v>
      </c>
      <c r="E800" s="34" t="s">
        <v>112</v>
      </c>
      <c r="F800" s="4">
        <f>_xlfn.XLOOKUP([1]!Table134526_79101120212223242526[[#This Row],[Name Surname]],[1]Manpower!C:C,[1]Manpower!D:D,)</f>
        <v>121937785</v>
      </c>
      <c r="G800" s="34" t="str">
        <f>_xlfn.XLOOKUP([1]!Table134526_79101120212223242526[[#This Row],[Name Surname]],[1]Manpower!$C$4:$C$1048576,[1]Manpower!$F$4:$F$1048576,"")</f>
        <v>Scaffolding Inspector</v>
      </c>
      <c r="H800" s="34" t="str">
        <f>_xlfn.XLOOKUP([1]!Table134526_79101120212223242526[[#This Row],[Name Surname]],[1]Manpower!$C$4:$C$1048576,[1]Manpower!$H$4:$H$1048576,"")</f>
        <v>Manpower</v>
      </c>
      <c r="I800" s="5" t="str">
        <f>_xlfn.XLOOKUP([1]!Table134526_79101120212223242526[[#This Row],[Name Surname]],[1]Manpower!$C$4:$C$1048576,[1]Manpower!$H$4:$H$1048576,"")</f>
        <v>Manpower</v>
      </c>
      <c r="J800" s="5" t="s">
        <v>38</v>
      </c>
      <c r="K800" s="34" t="s">
        <v>7</v>
      </c>
      <c r="L800" s="34" t="s">
        <v>156</v>
      </c>
      <c r="M800" s="34" t="s">
        <v>18</v>
      </c>
      <c r="N800" s="35">
        <v>10</v>
      </c>
      <c r="O800" s="34"/>
      <c r="P800" s="34"/>
      <c r="Q800" s="34"/>
      <c r="R800" s="34" t="s">
        <v>19</v>
      </c>
      <c r="S800" s="8"/>
    </row>
    <row r="801" spans="1:19" x14ac:dyDescent="0.3">
      <c r="A801" s="28" t="e">
        <f>IF(C801="","",MAX($A$2:A800)+1)</f>
        <v>#REF!</v>
      </c>
      <c r="B801" s="41" t="s">
        <v>36</v>
      </c>
      <c r="C801" s="36">
        <v>46111</v>
      </c>
      <c r="D801" s="37" t="str">
        <f>_xlfn.XLOOKUP([1]!Table134526_79101120212223242526[[#This Row],[Name Surname]],[1]Manpower!$C$4:$C$1048576,[1]Manpower!$B$4:$B$1048576,"")</f>
        <v xml:space="preserve">AL Omar International </v>
      </c>
      <c r="E801" s="37" t="s">
        <v>123</v>
      </c>
      <c r="F801" s="12">
        <f>_xlfn.XLOOKUP([1]!Table134526_79101120212223242526[[#This Row],[Name Surname]],[1]Manpower!C:C,[1]Manpower!D:D,)</f>
        <v>85812175</v>
      </c>
      <c r="G801" s="37" t="str">
        <f>_xlfn.XLOOKUP([1]!Table134526_79101120212223242526[[#This Row],[Name Surname]],[1]Manpower!$C$4:$C$1048576,[1]Manpower!$F$4:$F$1048576,"")</f>
        <v>Scaffolding Supervisor</v>
      </c>
      <c r="H801" s="37" t="str">
        <f>_xlfn.XLOOKUP([1]!Table134526_79101120212223242526[[#This Row],[Name Surname]],[1]Manpower!$C$4:$C$1048576,[1]Manpower!$H$4:$H$1048576,"")</f>
        <v>Sub Contactor</v>
      </c>
      <c r="I801" s="13" t="str">
        <f>_xlfn.XLOOKUP([1]!Table134526_79101120212223242526[[#This Row],[Name Surname]],[1]Manpower!$C$4:$C$1048576,[1]Manpower!$H$4:$H$1048576,"")</f>
        <v>Sub Contactor</v>
      </c>
      <c r="J801" s="13" t="s">
        <v>38</v>
      </c>
      <c r="K801" s="37" t="s">
        <v>7</v>
      </c>
      <c r="L801" s="37" t="s">
        <v>156</v>
      </c>
      <c r="M801" s="37" t="s">
        <v>5</v>
      </c>
      <c r="N801" s="38">
        <v>10</v>
      </c>
      <c r="O801" s="37"/>
      <c r="P801" s="37"/>
      <c r="Q801" s="37"/>
      <c r="R801" s="37" t="s">
        <v>163</v>
      </c>
      <c r="S801" s="15"/>
    </row>
    <row r="802" spans="1:19" x14ac:dyDescent="0.3">
      <c r="A802" s="29" t="e">
        <f>IF(C802="","",MAX($A$2:A801)+1)</f>
        <v>#REF!</v>
      </c>
      <c r="B802" s="41" t="s">
        <v>36</v>
      </c>
      <c r="C802" s="33">
        <v>46111</v>
      </c>
      <c r="D802" s="34" t="str">
        <f>_xlfn.XLOOKUP([1]!Table134526_79101120212223242526[[#This Row],[Name Surname]],[1]Manpower!$C$4:$C$1048576,[1]Manpower!$B$4:$B$1048576,"")</f>
        <v>AL Omar International TRAD AND CONT</v>
      </c>
      <c r="E802" s="34" t="s">
        <v>57</v>
      </c>
      <c r="F802" s="4">
        <f>_xlfn.XLOOKUP([1]!Table134526_79101120212223242526[[#This Row],[Name Surname]],[1]Manpower!C:C,[1]Manpower!D:D,)</f>
        <v>95335424</v>
      </c>
      <c r="G802" s="34" t="str">
        <f>_xlfn.XLOOKUP([1]!Table134526_79101120212223242526[[#This Row],[Name Surname]],[1]Manpower!$C$4:$C$1048576,[1]Manpower!$F$4:$F$1048576,"")</f>
        <v>Scaffolder</v>
      </c>
      <c r="H802" s="34" t="str">
        <f>_xlfn.XLOOKUP([1]!Table134526_79101120212223242526[[#This Row],[Name Surname]],[1]Manpower!$C$4:$C$1048576,[1]Manpower!$H$4:$H$1048576,"")</f>
        <v>Sub Contactor</v>
      </c>
      <c r="I802" s="5" t="str">
        <f>_xlfn.XLOOKUP([1]!Table134526_79101120212223242526[[#This Row],[Name Surname]],[1]Manpower!$C$4:$C$1048576,[1]Manpower!$H$4:$H$1048576,"")</f>
        <v>Sub Contactor</v>
      </c>
      <c r="J802" s="5" t="s">
        <v>38</v>
      </c>
      <c r="K802" s="34" t="s">
        <v>7</v>
      </c>
      <c r="L802" s="34" t="s">
        <v>156</v>
      </c>
      <c r="M802" s="34" t="s">
        <v>5</v>
      </c>
      <c r="N802" s="35">
        <v>10</v>
      </c>
      <c r="O802" s="34"/>
      <c r="P802" s="34"/>
      <c r="Q802" s="34"/>
      <c r="R802" s="34" t="s">
        <v>163</v>
      </c>
      <c r="S802" s="8"/>
    </row>
    <row r="803" spans="1:19" x14ac:dyDescent="0.3">
      <c r="A803" s="28" t="e">
        <f>IF(C803="","",MAX($A$2:A802)+1)</f>
        <v>#REF!</v>
      </c>
      <c r="B803" s="41" t="s">
        <v>36</v>
      </c>
      <c r="C803" s="36">
        <v>46111</v>
      </c>
      <c r="D803" s="37" t="str">
        <f>_xlfn.XLOOKUP([1]!Table134526_79101120212223242526[[#This Row],[Name Surname]],[1]Manpower!$C$4:$C$1048576,[1]Manpower!$B$4:$B$1048576,"")</f>
        <v>AL Omar International TRAD AND CONT</v>
      </c>
      <c r="E803" s="36" t="s">
        <v>58</v>
      </c>
      <c r="F803" s="12">
        <f>_xlfn.XLOOKUP([1]!Table134526_79101120212223242526[[#This Row],[Name Surname]],[1]Manpower!C:C,[1]Manpower!D:D,)</f>
        <v>96409155</v>
      </c>
      <c r="G803" s="37" t="str">
        <f>_xlfn.XLOOKUP([1]!Table134526_79101120212223242526[[#This Row],[Name Surname]],[1]Manpower!$C$4:$C$1048576,[1]Manpower!$F$4:$F$1048576,"")</f>
        <v>Scaffolder</v>
      </c>
      <c r="H803" s="37" t="str">
        <f>_xlfn.XLOOKUP([1]!Table134526_79101120212223242526[[#This Row],[Name Surname]],[1]Manpower!$C$4:$C$1048576,[1]Manpower!$H$4:$H$1048576,"")</f>
        <v>Sub Contactor</v>
      </c>
      <c r="I803" s="37" t="str">
        <f>_xlfn.XLOOKUP([1]!Table134526_79101120212223242526[[#This Row],[Name Surname]],[1]Manpower!$C$4:$C$1048576,[1]Manpower!$H$4:$H$1048576,"")</f>
        <v>Sub Contactor</v>
      </c>
      <c r="J803" s="37" t="s">
        <v>38</v>
      </c>
      <c r="K803" s="13" t="s">
        <v>7</v>
      </c>
      <c r="L803" s="37" t="s">
        <v>156</v>
      </c>
      <c r="M803" s="37" t="s">
        <v>18</v>
      </c>
      <c r="N803" s="38">
        <v>10</v>
      </c>
      <c r="O803" s="13"/>
      <c r="P803" s="13"/>
      <c r="Q803" s="13"/>
      <c r="R803" s="37" t="s">
        <v>19</v>
      </c>
      <c r="S803" s="15"/>
    </row>
    <row r="804" spans="1:19" x14ac:dyDescent="0.3">
      <c r="A804" s="29" t="e">
        <f>IF(C804="","",MAX($A$2:A803)+1)</f>
        <v>#REF!</v>
      </c>
      <c r="B804" s="41" t="s">
        <v>36</v>
      </c>
      <c r="C804" s="33">
        <v>46111</v>
      </c>
      <c r="D804" s="34" t="str">
        <f>_xlfn.XLOOKUP([1]!Table134526_79101120212223242526[[#This Row],[Name Surname]],[1]Manpower!$C$4:$C$1048576,[1]Manpower!$B$4:$B$1048576,"")</f>
        <v>AL Omar International TRAD AND CONT</v>
      </c>
      <c r="E804" s="33" t="s">
        <v>59</v>
      </c>
      <c r="F804" s="4">
        <f>_xlfn.XLOOKUP([1]!Table134526_79101120212223242526[[#This Row],[Name Surname]],[1]Manpower!C:C,[1]Manpower!D:D,)</f>
        <v>105813698</v>
      </c>
      <c r="G804" s="34" t="str">
        <f>_xlfn.XLOOKUP([1]!Table134526_79101120212223242526[[#This Row],[Name Surname]],[1]Manpower!$C$4:$C$1048576,[1]Manpower!$F$4:$F$1048576,"")</f>
        <v>Scaffolding Inspector</v>
      </c>
      <c r="H804" s="34" t="str">
        <f>_xlfn.XLOOKUP([1]!Table134526_79101120212223242526[[#This Row],[Name Surname]],[1]Manpower!$C$4:$C$1048576,[1]Manpower!$H$4:$H$1048576,"")</f>
        <v>Sub Contactor</v>
      </c>
      <c r="I804" s="34" t="str">
        <f>_xlfn.XLOOKUP([1]!Table134526_79101120212223242526[[#This Row],[Name Surname]],[1]Manpower!$C$4:$C$1048576,[1]Manpower!$H$4:$H$1048576,"")</f>
        <v>Sub Contactor</v>
      </c>
      <c r="J804" s="34" t="s">
        <v>38</v>
      </c>
      <c r="K804" s="5" t="s">
        <v>7</v>
      </c>
      <c r="L804" s="34" t="s">
        <v>156</v>
      </c>
      <c r="M804" s="34" t="s">
        <v>18</v>
      </c>
      <c r="N804" s="35">
        <v>10</v>
      </c>
      <c r="O804" s="5"/>
      <c r="P804" s="5"/>
      <c r="Q804" s="5"/>
      <c r="R804" s="34" t="s">
        <v>19</v>
      </c>
      <c r="S804" s="8"/>
    </row>
    <row r="805" spans="1:19" x14ac:dyDescent="0.3">
      <c r="A805" s="28" t="e">
        <f>IF(C805="","",MAX($A$2:A804)+1)</f>
        <v>#REF!</v>
      </c>
      <c r="B805" s="42" t="s">
        <v>0</v>
      </c>
      <c r="C805" s="36">
        <v>46112</v>
      </c>
      <c r="D805" s="37" t="str">
        <f>_xlfn.XLOOKUP([1]!Table134526_79101120212223242526[[#This Row],[Name Surname]],[1]Manpower!$C$4:$C$1048576,[1]Manpower!$B$4:$B$1048576,"")</f>
        <v>AL Saif &amp; Al QALLM ENT LLC</v>
      </c>
      <c r="E805" s="37" t="s">
        <v>129</v>
      </c>
      <c r="F805" s="12">
        <f>_xlfn.XLOOKUP([1]!Table134526_79101120212223242526[[#This Row],[Name Surname]],[1]Manpower!C:C,[1]Manpower!D:D,)</f>
        <v>135340657</v>
      </c>
      <c r="G805" s="37" t="str">
        <f>_xlfn.XLOOKUP([1]!Table134526_79101120212223242526[[#This Row],[Name Surname]],[1]Manpower!$C$4:$C$1048576,[1]Manpower!$F$4:$F$1048576,"")</f>
        <v>Forklift Operator</v>
      </c>
      <c r="H805" s="37" t="str">
        <f>_xlfn.XLOOKUP([1]!Table134526_79101120212223242526[[#This Row],[Name Surname]],[1]Manpower!$C$4:$C$1048576,[1]Manpower!$H$4:$H$1048576,"")</f>
        <v>Sub Contactor</v>
      </c>
      <c r="I805" s="13" t="str">
        <f>_xlfn.XLOOKUP([1]!Table134526_79101120212223242526[[#This Row],[Name Surname]],[1]Manpower!$C$4:$C$1048576,[1]Manpower!$H$4:$H$1048576,"")</f>
        <v>Sub Contactor</v>
      </c>
      <c r="J805" s="13" t="s">
        <v>2</v>
      </c>
      <c r="K805" s="37" t="s">
        <v>130</v>
      </c>
      <c r="L805" s="37" t="s">
        <v>10</v>
      </c>
      <c r="M805" s="37" t="s">
        <v>18</v>
      </c>
      <c r="N805" s="38">
        <v>10</v>
      </c>
      <c r="O805" s="37"/>
      <c r="P805" s="37"/>
      <c r="Q805" s="37"/>
      <c r="R805" s="37" t="s">
        <v>167</v>
      </c>
      <c r="S805" s="15"/>
    </row>
    <row r="806" spans="1:19" x14ac:dyDescent="0.3">
      <c r="A806" s="29" t="e">
        <f>IF(C806="","",MAX($A$2:A805)+1)</f>
        <v>#REF!</v>
      </c>
      <c r="B806" s="42" t="s">
        <v>0</v>
      </c>
      <c r="C806" s="33">
        <v>46112</v>
      </c>
      <c r="D806" s="34" t="str">
        <f>_xlfn.XLOOKUP([1]!Table134526_79101120212223242526[[#This Row],[Name Surname]],[1]Manpower!$C$4:$C$1048576,[1]Manpower!$B$4:$B$1048576,"")</f>
        <v>Encogroup</v>
      </c>
      <c r="E806" s="34" t="s">
        <v>46</v>
      </c>
      <c r="F806" s="4">
        <f>_xlfn.XLOOKUP([1]!Table134526_79101120212223242526[[#This Row],[Name Surname]],[1]Manpower!C:C,[1]Manpower!D:D,)</f>
        <v>140844586</v>
      </c>
      <c r="G806" s="34" t="str">
        <f>_xlfn.XLOOKUP([1]!Table134526_79101120212223242526[[#This Row],[Name Surname]],[1]Manpower!$C$4:$C$1048576,[1]Manpower!$F$4:$F$1048576,"")</f>
        <v>Assistant/Helper</v>
      </c>
      <c r="H806" s="34" t="str">
        <f>_xlfn.XLOOKUP([1]!Table134526_79101120212223242526[[#This Row],[Name Surname]],[1]Manpower!$C$4:$C$1048576,[1]Manpower!$H$4:$H$1048576,"")</f>
        <v>Manpower</v>
      </c>
      <c r="I806" s="5" t="str">
        <f>_xlfn.XLOOKUP([1]!Table134526_79101120212223242526[[#This Row],[Name Surname]],[1]Manpower!$C$4:$C$1048576,[1]Manpower!$H$4:$H$1048576,"")</f>
        <v>Manpower</v>
      </c>
      <c r="J806" s="5" t="s">
        <v>2</v>
      </c>
      <c r="K806" s="34" t="s">
        <v>130</v>
      </c>
      <c r="L806" s="34" t="s">
        <v>10</v>
      </c>
      <c r="M806" s="34" t="s">
        <v>18</v>
      </c>
      <c r="N806" s="35">
        <v>10</v>
      </c>
      <c r="O806" s="34"/>
      <c r="P806" s="34"/>
      <c r="Q806" s="34"/>
      <c r="R806" s="34" t="s">
        <v>167</v>
      </c>
      <c r="S806" s="8"/>
    </row>
    <row r="807" spans="1:19" x14ac:dyDescent="0.3">
      <c r="A807" s="28" t="e">
        <f>IF(C807="","",MAX($A$2:A806)+1)</f>
        <v>#REF!</v>
      </c>
      <c r="B807" s="44" t="s">
        <v>0</v>
      </c>
      <c r="C807" s="36">
        <v>46112</v>
      </c>
      <c r="D807" s="37" t="str">
        <f>_xlfn.XLOOKUP([1]!Table134526_79101120212223242526[[#This Row],[Name Surname]],[1]Manpower!$C$4:$C$1048576,[1]Manpower!$B$4:$B$1048576,"")</f>
        <v>AL Omar International TRAD AND CONT</v>
      </c>
      <c r="E807" s="36" t="s">
        <v>61</v>
      </c>
      <c r="F807" s="12">
        <f>_xlfn.XLOOKUP([1]!Table134526_79101120212223242526[[#This Row],[Name Surname]],[1]Manpower!C:C,[1]Manpower!D:D,)</f>
        <v>106093463</v>
      </c>
      <c r="G807" s="37" t="str">
        <f>_xlfn.XLOOKUP([1]!Table134526_79101120212223242526[[#This Row],[Name Surname]],[1]Manpower!$C$4:$C$1048576,[1]Manpower!$F$4:$F$1048576,"")</f>
        <v>RIgger</v>
      </c>
      <c r="H807" s="37" t="str">
        <f>_xlfn.XLOOKUP([1]!Table134526_79101120212223242526[[#This Row],[Name Surname]],[1]Manpower!$C$4:$C$1048576,[1]Manpower!$H$4:$H$1048576,"")</f>
        <v>Sub Contactor</v>
      </c>
      <c r="I807" s="13" t="str">
        <f>_xlfn.XLOOKUP([1]!Table134526_79101120212223242526[[#This Row],[Name Surname]],[1]Manpower!$C$4:$C$1048576,[1]Manpower!$H$4:$H$1048576,"")</f>
        <v>Sub Contactor</v>
      </c>
      <c r="J807" s="13" t="s">
        <v>9</v>
      </c>
      <c r="K807" s="37" t="s">
        <v>7</v>
      </c>
      <c r="L807" s="37" t="s">
        <v>10</v>
      </c>
      <c r="M807" s="37" t="s">
        <v>18</v>
      </c>
      <c r="N807" s="38">
        <v>10</v>
      </c>
      <c r="O807" s="37"/>
      <c r="P807" s="37"/>
      <c r="Q807" s="37"/>
      <c r="R807" s="37" t="s">
        <v>151</v>
      </c>
      <c r="S807" s="15"/>
    </row>
    <row r="808" spans="1:19" x14ac:dyDescent="0.3">
      <c r="A808" s="29" t="e">
        <f>IF(C808="","",MAX($A$2:A807)+1)</f>
        <v>#REF!</v>
      </c>
      <c r="B808" s="43" t="s">
        <v>0</v>
      </c>
      <c r="C808" s="33">
        <v>46112</v>
      </c>
      <c r="D808" s="34" t="str">
        <f>_xlfn.XLOOKUP([1]!Table134526_79101120212223242526[[#This Row],[Name Surname]],[1]Manpower!$C$4:$C$1048576,[1]Manpower!$B$4:$B$1048576,"")</f>
        <v>Al Asrah Al Mumayaza Trad</v>
      </c>
      <c r="E808" s="34" t="s">
        <v>8</v>
      </c>
      <c r="F808" s="4" t="e">
        <f>_xlfn.XLOOKUP([1]!Table134526_79101120212223242526[[#This Row],[Name Surname]],[1]Manpower!C:C,[1]Manpower!D:D,)</f>
        <v>#N/A</v>
      </c>
      <c r="G808" s="34" t="str">
        <f>_xlfn.XLOOKUP([1]!Table134526_79101120212223242526[[#This Row],[Name Surname]],[1]Manpower!$C$4:$C$1048576,[1]Manpower!$F$4:$F$1048576,"")</f>
        <v>PICK-UP</v>
      </c>
      <c r="H808" s="34" t="str">
        <f>_xlfn.XLOOKUP([1]!Table134526_79101120212223242526[[#This Row],[Name Surname]],[1]Manpower!$C$4:$C$1048576,[1]Manpower!$H$4:$H$1048576,"")</f>
        <v>Equipment</v>
      </c>
      <c r="I808" s="5" t="str">
        <f>_xlfn.XLOOKUP([1]!Table134526_79101120212223242526[[#This Row],[Name Surname]],[1]Manpower!$C$4:$C$1048576,[1]Manpower!$H$4:$H$1048576,"")</f>
        <v>Equipment</v>
      </c>
      <c r="J808" s="5" t="s">
        <v>9</v>
      </c>
      <c r="K808" s="34" t="s">
        <v>7</v>
      </c>
      <c r="L808" s="34" t="s">
        <v>10</v>
      </c>
      <c r="M808" s="34" t="s">
        <v>5</v>
      </c>
      <c r="N808" s="35">
        <v>10</v>
      </c>
      <c r="O808" s="34" t="s">
        <v>6</v>
      </c>
      <c r="P808" s="34" t="s">
        <v>12</v>
      </c>
      <c r="Q808" s="34" t="s">
        <v>29</v>
      </c>
      <c r="R808" s="34" t="s">
        <v>168</v>
      </c>
      <c r="S808" s="8"/>
    </row>
    <row r="809" spans="1:19" x14ac:dyDescent="0.3">
      <c r="A809" s="28" t="e">
        <f>IF(C809="","",MAX($A$2:A808)+1)</f>
        <v>#REF!</v>
      </c>
      <c r="B809" s="44" t="s">
        <v>0</v>
      </c>
      <c r="C809" s="36">
        <v>46112</v>
      </c>
      <c r="D809" s="37" t="str">
        <f>_xlfn.XLOOKUP([1]!Table134526_79101120212223242526[[#This Row],[Name Surname]],[1]Manpower!$C$4:$C$1048576,[1]Manpower!$B$4:$B$1048576,"")</f>
        <v>Al Asrah Al Mumayaza Trad</v>
      </c>
      <c r="E809" s="37" t="s">
        <v>17</v>
      </c>
      <c r="F809" s="12" t="e">
        <f>_xlfn.XLOOKUP([1]!Table134526_79101120212223242526[[#This Row],[Name Surname]],[1]Manpower!C:C,[1]Manpower!D:D,)</f>
        <v>#N/A</v>
      </c>
      <c r="G809" s="37" t="str">
        <f>_xlfn.XLOOKUP([1]!Table134526_79101120212223242526[[#This Row],[Name Surname]],[1]Manpower!$C$4:$C$1048576,[1]Manpower!$F$4:$F$1048576,"")</f>
        <v>PICK-UP</v>
      </c>
      <c r="H809" s="37" t="str">
        <f>_xlfn.XLOOKUP([1]!Table134526_79101120212223242526[[#This Row],[Name Surname]],[1]Manpower!$C$4:$C$1048576,[1]Manpower!$H$4:$H$1048576,"")</f>
        <v>Equipment</v>
      </c>
      <c r="I809" s="13" t="str">
        <f>_xlfn.XLOOKUP([1]!Table134526_79101120212223242526[[#This Row],[Name Surname]],[1]Manpower!$C$4:$C$1048576,[1]Manpower!$H$4:$H$1048576,"")</f>
        <v>Equipment</v>
      </c>
      <c r="J809" s="13" t="s">
        <v>9</v>
      </c>
      <c r="K809" s="37" t="s">
        <v>7</v>
      </c>
      <c r="L809" s="37" t="s">
        <v>10</v>
      </c>
      <c r="M809" s="37" t="s">
        <v>5</v>
      </c>
      <c r="N809" s="38">
        <v>10</v>
      </c>
      <c r="O809" s="37" t="s">
        <v>6</v>
      </c>
      <c r="P809" s="37" t="s">
        <v>12</v>
      </c>
      <c r="Q809" s="37" t="s">
        <v>29</v>
      </c>
      <c r="R809" s="37" t="s">
        <v>168</v>
      </c>
      <c r="S809" s="15"/>
    </row>
    <row r="810" spans="1:19" x14ac:dyDescent="0.3">
      <c r="A810" s="29" t="e">
        <f>IF(C810="","",MAX($A$2:A809)+1)</f>
        <v>#REF!</v>
      </c>
      <c r="B810" s="43" t="s">
        <v>0</v>
      </c>
      <c r="C810" s="33">
        <v>46112</v>
      </c>
      <c r="D810" s="34" t="str">
        <f>_xlfn.XLOOKUP([1]!Table134526_79101120212223242526[[#This Row],[Name Surname]],[1]Manpower!$C$4:$C$1048576,[1]Manpower!$B$4:$B$1048576,"")</f>
        <v>Al Asrah Al Mumayaza Trad</v>
      </c>
      <c r="E810" s="34" t="s">
        <v>15</v>
      </c>
      <c r="F810" s="4" t="e">
        <f>_xlfn.XLOOKUP([1]!Table134526_79101120212223242526[[#This Row],[Name Surname]],[1]Manpower!C:C,[1]Manpower!D:D,)</f>
        <v>#N/A</v>
      </c>
      <c r="G810" s="34" t="str">
        <f>_xlfn.XLOOKUP([1]!Table134526_79101120212223242526[[#This Row],[Name Surname]],[1]Manpower!$C$4:$C$1048576,[1]Manpower!$F$4:$F$1048576,"")</f>
        <v>PICK-UP</v>
      </c>
      <c r="H810" s="34" t="str">
        <f>_xlfn.XLOOKUP([1]!Table134526_79101120212223242526[[#This Row],[Name Surname]],[1]Manpower!$C$4:$C$1048576,[1]Manpower!$H$4:$H$1048576,"")</f>
        <v>Equipment</v>
      </c>
      <c r="I810" s="5" t="str">
        <f>_xlfn.XLOOKUP([1]!Table134526_79101120212223242526[[#This Row],[Name Surname]],[1]Manpower!$C$4:$C$1048576,[1]Manpower!$H$4:$H$1048576,"")</f>
        <v>Equipment</v>
      </c>
      <c r="J810" s="5" t="s">
        <v>9</v>
      </c>
      <c r="K810" s="34" t="s">
        <v>7</v>
      </c>
      <c r="L810" s="34" t="s">
        <v>10</v>
      </c>
      <c r="M810" s="34" t="s">
        <v>5</v>
      </c>
      <c r="N810" s="35">
        <v>10</v>
      </c>
      <c r="O810" s="34" t="s">
        <v>6</v>
      </c>
      <c r="P810" s="34" t="s">
        <v>12</v>
      </c>
      <c r="Q810" s="34" t="s">
        <v>29</v>
      </c>
      <c r="R810" s="34" t="s">
        <v>168</v>
      </c>
      <c r="S810" s="8"/>
    </row>
    <row r="811" spans="1:19" x14ac:dyDescent="0.3">
      <c r="A811" s="28" t="e">
        <f>IF(C811="","",MAX($A$2:A810)+1)</f>
        <v>#REF!</v>
      </c>
      <c r="B811" s="44" t="s">
        <v>0</v>
      </c>
      <c r="C811" s="36">
        <v>46112</v>
      </c>
      <c r="D811" s="36" t="str">
        <f>_xlfn.XLOOKUP([1]!Table134526_79101120212223242526[[#This Row],[Name Surname]],[1]Manpower!$C$4:$C$1048576,[1]Manpower!$B$4:$B$1048576,"")</f>
        <v>Al Asrah Al Mumayaza Trad</v>
      </c>
      <c r="E811" s="36" t="s">
        <v>20</v>
      </c>
      <c r="F811" s="12" t="e">
        <f>_xlfn.XLOOKUP([1]!Table134526_79101120212223242526[[#This Row],[Name Surname]],[1]Manpower!C:C,[1]Manpower!D:D,)</f>
        <v>#N/A</v>
      </c>
      <c r="G811" s="36" t="str">
        <f>_xlfn.XLOOKUP([1]!Table134526_79101120212223242526[[#This Row],[Name Surname]],[1]Manpower!$C$4:$C$1048576,[1]Manpower!$F$4:$F$1048576,"")</f>
        <v>PICK-UP</v>
      </c>
      <c r="H811" s="36" t="str">
        <f>_xlfn.XLOOKUP([1]!Table134526_79101120212223242526[[#This Row],[Name Surname]],[1]Manpower!$C$4:$C$1048576,[1]Manpower!$H$4:$H$1048576,"")</f>
        <v>Equipment</v>
      </c>
      <c r="I811" s="36" t="str">
        <f>_xlfn.XLOOKUP([1]!Table134526_79101120212223242526[[#This Row],[Name Surname]],[1]Manpower!$C$4:$C$1048576,[1]Manpower!$H$4:$H$1048576,"")</f>
        <v>Equipment</v>
      </c>
      <c r="J811" s="13" t="s">
        <v>9</v>
      </c>
      <c r="K811" s="37" t="s">
        <v>7</v>
      </c>
      <c r="L811" s="37" t="s">
        <v>10</v>
      </c>
      <c r="M811" s="37" t="s">
        <v>5</v>
      </c>
      <c r="N811" s="38">
        <v>10</v>
      </c>
      <c r="O811" s="37" t="s">
        <v>6</v>
      </c>
      <c r="P811" s="37" t="s">
        <v>12</v>
      </c>
      <c r="Q811" s="37" t="s">
        <v>29</v>
      </c>
      <c r="R811" s="37" t="s">
        <v>168</v>
      </c>
      <c r="S811" s="15"/>
    </row>
    <row r="812" spans="1:19" x14ac:dyDescent="0.3">
      <c r="A812" s="29" t="e">
        <f>IF(C812="","",MAX($A$2:A811)+1)</f>
        <v>#REF!</v>
      </c>
      <c r="B812" s="41" t="s">
        <v>36</v>
      </c>
      <c r="C812" s="33">
        <v>46112</v>
      </c>
      <c r="D812" s="34" t="str">
        <f>_xlfn.XLOOKUP([1]!Table134526_79101120212223242526[[#This Row],[Name Surname]],[1]Manpower!$C$4:$C$1048576,[1]Manpower!$B$4:$B$1048576,"")</f>
        <v>Encogroup</v>
      </c>
      <c r="E812" s="34" t="s">
        <v>22</v>
      </c>
      <c r="F812" s="4">
        <f>_xlfn.XLOOKUP([1]!Table134526_79101120212223242526[[#This Row],[Name Surname]],[1]Manpower!C:C,[1]Manpower!D:D,)</f>
        <v>140805592</v>
      </c>
      <c r="G812" s="34" t="str">
        <f>_xlfn.XLOOKUP([1]!Table134526_79101120212223242526[[#This Row],[Name Surname]],[1]Manpower!$C$4:$C$1048576,[1]Manpower!$F$4:$F$1048576,"")</f>
        <v>Assistant/Helper</v>
      </c>
      <c r="H812" s="34" t="str">
        <f>_xlfn.XLOOKUP([1]!Table134526_79101120212223242526[[#This Row],[Name Surname]],[1]Manpower!$C$4:$C$1048576,[1]Manpower!$H$4:$H$1048576,"")</f>
        <v>Manpower</v>
      </c>
      <c r="I812" s="5" t="str">
        <f>_xlfn.XLOOKUP([1]!Table134526_79101120212223242526[[#This Row],[Name Surname]],[1]Manpower!$C$4:$C$1048576,[1]Manpower!$H$4:$H$1048576,"")</f>
        <v>Manpower</v>
      </c>
      <c r="J812" s="5" t="s">
        <v>23</v>
      </c>
      <c r="K812" s="34" t="s">
        <v>153</v>
      </c>
      <c r="L812" s="34" t="s">
        <v>25</v>
      </c>
      <c r="M812" s="34" t="s">
        <v>5</v>
      </c>
      <c r="N812" s="35">
        <v>10</v>
      </c>
      <c r="O812" s="5" t="s">
        <v>6</v>
      </c>
      <c r="P812" s="5" t="s">
        <v>12</v>
      </c>
      <c r="Q812" s="5" t="s">
        <v>26</v>
      </c>
      <c r="R812" s="34" t="s">
        <v>169</v>
      </c>
      <c r="S812" s="8"/>
    </row>
    <row r="813" spans="1:19" x14ac:dyDescent="0.3">
      <c r="A813" s="28" t="e">
        <f>IF(C813="","",MAX($A$2:A812)+1)</f>
        <v>#REF!</v>
      </c>
      <c r="B813" s="41" t="s">
        <v>36</v>
      </c>
      <c r="C813" s="36">
        <v>46112</v>
      </c>
      <c r="D813" s="37" t="str">
        <f>_xlfn.XLOOKUP([1]!Table134526_79101120212223242526[[#This Row],[Name Surname]],[1]Manpower!$C$4:$C$1048576,[1]Manpower!$B$4:$B$1048576,"")</f>
        <v>Encogroup</v>
      </c>
      <c r="E813" s="37" t="s">
        <v>28</v>
      </c>
      <c r="F813" s="12">
        <f>_xlfn.XLOOKUP([1]!Table134526_79101120212223242526[[#This Row],[Name Surname]],[1]Manpower!C:C,[1]Manpower!D:D,)</f>
        <v>140683371</v>
      </c>
      <c r="G813" s="37" t="str">
        <f>_xlfn.XLOOKUP([1]!Table134526_79101120212223242526[[#This Row],[Name Surname]],[1]Manpower!$C$4:$C$1048576,[1]Manpower!$F$4:$F$1048576,"")</f>
        <v>Rigger</v>
      </c>
      <c r="H813" s="37" t="str">
        <f>_xlfn.XLOOKUP([1]!Table134526_79101120212223242526[[#This Row],[Name Surname]],[1]Manpower!$C$4:$C$1048576,[1]Manpower!$H$4:$H$1048576,"")</f>
        <v>Manpower</v>
      </c>
      <c r="I813" s="13" t="str">
        <f>_xlfn.XLOOKUP([1]!Table134526_79101120212223242526[[#This Row],[Name Surname]],[1]Manpower!$C$4:$C$1048576,[1]Manpower!$H$4:$H$1048576,"")</f>
        <v>Manpower</v>
      </c>
      <c r="J813" s="13" t="s">
        <v>23</v>
      </c>
      <c r="K813" s="37" t="s">
        <v>153</v>
      </c>
      <c r="L813" s="37" t="s">
        <v>25</v>
      </c>
      <c r="M813" s="37" t="s">
        <v>5</v>
      </c>
      <c r="N813" s="38">
        <v>10</v>
      </c>
      <c r="O813" s="13" t="s">
        <v>6</v>
      </c>
      <c r="P813" s="13" t="s">
        <v>12</v>
      </c>
      <c r="Q813" s="13" t="s">
        <v>26</v>
      </c>
      <c r="R813" s="37" t="s">
        <v>169</v>
      </c>
      <c r="S813" s="15"/>
    </row>
    <row r="814" spans="1:19" x14ac:dyDescent="0.3">
      <c r="A814" s="29" t="e">
        <f>IF(C814="","",MAX($A$2:A813)+1)</f>
        <v>#REF!</v>
      </c>
      <c r="B814" s="41" t="s">
        <v>36</v>
      </c>
      <c r="C814" s="33">
        <v>46112</v>
      </c>
      <c r="D814" s="34" t="str">
        <f>_xlfn.XLOOKUP([1]!Table134526_79101120212223242526[[#This Row],[Name Surname]],[1]Manpower!$C$4:$C$1048576,[1]Manpower!$B$4:$B$1048576,"")</f>
        <v>Encogroup</v>
      </c>
      <c r="E814" s="34" t="s">
        <v>111</v>
      </c>
      <c r="F814" s="4">
        <f>_xlfn.XLOOKUP([1]!Table134526_79101120212223242526[[#This Row],[Name Surname]],[1]Manpower!C:C,[1]Manpower!D:D,)</f>
        <v>140844572</v>
      </c>
      <c r="G814" s="34" t="str">
        <f>_xlfn.XLOOKUP([1]!Table134526_79101120212223242526[[#This Row],[Name Surname]],[1]Manpower!$C$4:$C$1048576,[1]Manpower!$F$4:$F$1048576,"")</f>
        <v>Assistant/Helper</v>
      </c>
      <c r="H814" s="34" t="str">
        <f>_xlfn.XLOOKUP([1]!Table134526_79101120212223242526[[#This Row],[Name Surname]],[1]Manpower!$C$4:$C$1048576,[1]Manpower!$H$4:$H$1048576,"")</f>
        <v>Manpower</v>
      </c>
      <c r="I814" s="5" t="str">
        <f>_xlfn.XLOOKUP([1]!Table134526_79101120212223242526[[#This Row],[Name Surname]],[1]Manpower!$C$4:$C$1048576,[1]Manpower!$H$4:$H$1048576,"")</f>
        <v>Manpower</v>
      </c>
      <c r="J814" s="5" t="s">
        <v>23</v>
      </c>
      <c r="K814" s="34" t="s">
        <v>153</v>
      </c>
      <c r="L814" s="34" t="s">
        <v>25</v>
      </c>
      <c r="M814" s="34" t="s">
        <v>5</v>
      </c>
      <c r="N814" s="35">
        <v>10</v>
      </c>
      <c r="O814" s="5" t="s">
        <v>155</v>
      </c>
      <c r="P814" s="5" t="s">
        <v>155</v>
      </c>
      <c r="Q814" s="5" t="s">
        <v>155</v>
      </c>
      <c r="R814" s="34" t="s">
        <v>169</v>
      </c>
      <c r="S814" s="8"/>
    </row>
    <row r="815" spans="1:19" x14ac:dyDescent="0.3">
      <c r="A815" s="28" t="e">
        <f>IF(C815="","",MAX($A$2:A814)+1)</f>
        <v>#REF!</v>
      </c>
      <c r="B815" s="41" t="s">
        <v>36</v>
      </c>
      <c r="C815" s="36">
        <v>46112</v>
      </c>
      <c r="D815" s="37" t="str">
        <f>_xlfn.XLOOKUP([1]!Table134526_79101120212223242526[[#This Row],[Name Surname]],[1]Manpower!$C$4:$C$1048576,[1]Manpower!$B$4:$B$1048576,"")</f>
        <v>Encogroup</v>
      </c>
      <c r="E815" s="37" t="s">
        <v>31</v>
      </c>
      <c r="F815" s="12">
        <f>_xlfn.XLOOKUP([1]!Table134526_79101120212223242526[[#This Row],[Name Surname]],[1]Manpower!C:C,[1]Manpower!D:D,)</f>
        <v>140844848</v>
      </c>
      <c r="G815" s="37" t="str">
        <f>_xlfn.XLOOKUP([1]!Table134526_79101120212223242526[[#This Row],[Name Surname]],[1]Manpower!$C$4:$C$1048576,[1]Manpower!$F$4:$F$1048576,"")</f>
        <v>Assistant/Helper</v>
      </c>
      <c r="H815" s="37" t="str">
        <f>_xlfn.XLOOKUP([1]!Table134526_79101120212223242526[[#This Row],[Name Surname]],[1]Manpower!$C$4:$C$1048576,[1]Manpower!$H$4:$H$1048576,"")</f>
        <v>Manpower</v>
      </c>
      <c r="I815" s="13" t="str">
        <f>_xlfn.XLOOKUP([1]!Table134526_79101120212223242526[[#This Row],[Name Surname]],[1]Manpower!$C$4:$C$1048576,[1]Manpower!$H$4:$H$1048576,"")</f>
        <v>Manpower</v>
      </c>
      <c r="J815" s="13" t="s">
        <v>23</v>
      </c>
      <c r="K815" s="37" t="s">
        <v>153</v>
      </c>
      <c r="L815" s="37" t="s">
        <v>25</v>
      </c>
      <c r="M815" s="37" t="s">
        <v>5</v>
      </c>
      <c r="N815" s="38">
        <v>10</v>
      </c>
      <c r="O815" s="13" t="s">
        <v>11</v>
      </c>
      <c r="P815" s="13" t="s">
        <v>12</v>
      </c>
      <c r="Q815" s="13" t="s">
        <v>13</v>
      </c>
      <c r="R815" s="37" t="s">
        <v>169</v>
      </c>
      <c r="S815" s="15"/>
    </row>
    <row r="816" spans="1:19" x14ac:dyDescent="0.3">
      <c r="A816" s="29" t="e">
        <f>IF(C816="","",MAX($A$2:A815)+1)</f>
        <v>#REF!</v>
      </c>
      <c r="B816" s="41" t="s">
        <v>36</v>
      </c>
      <c r="C816" s="33">
        <v>46112</v>
      </c>
      <c r="D816" s="34" t="str">
        <f>_xlfn.XLOOKUP([1]!Table134526_79101120212223242526[[#This Row],[Name Surname]],[1]Manpower!$C$4:$C$1048576,[1]Manpower!$B$4:$B$1048576,"")</f>
        <v>Encogroup</v>
      </c>
      <c r="E816" s="34" t="s">
        <v>41</v>
      </c>
      <c r="F816" s="4">
        <f>_xlfn.XLOOKUP([1]!Table134526_79101120212223242526[[#This Row],[Name Surname]],[1]Manpower!C:C,[1]Manpower!D:D,)</f>
        <v>141359216</v>
      </c>
      <c r="G816" s="34" t="str">
        <f>_xlfn.XLOOKUP([1]!Table134526_79101120212223242526[[#This Row],[Name Surname]],[1]Manpower!$C$4:$C$1048576,[1]Manpower!$F$4:$F$1048576,"")</f>
        <v>Electrician</v>
      </c>
      <c r="H816" s="34" t="str">
        <f>_xlfn.XLOOKUP([1]!Table134526_79101120212223242526[[#This Row],[Name Surname]],[1]Manpower!$C$4:$C$1048576,[1]Manpower!$H$4:$H$1048576,"")</f>
        <v>Manpower</v>
      </c>
      <c r="I816" s="5" t="str">
        <f>_xlfn.XLOOKUP([1]!Table134526_79101120212223242526[[#This Row],[Name Surname]],[1]Manpower!$C$4:$C$1048576,[1]Manpower!$H$4:$H$1048576,"")</f>
        <v>Manpower</v>
      </c>
      <c r="J816" s="5" t="s">
        <v>23</v>
      </c>
      <c r="K816" s="34" t="s">
        <v>153</v>
      </c>
      <c r="L816" s="34" t="s">
        <v>25</v>
      </c>
      <c r="M816" s="34" t="s">
        <v>5</v>
      </c>
      <c r="N816" s="35">
        <v>10</v>
      </c>
      <c r="O816" s="5" t="s">
        <v>11</v>
      </c>
      <c r="P816" s="5" t="s">
        <v>12</v>
      </c>
      <c r="Q816" s="5" t="s">
        <v>13</v>
      </c>
      <c r="R816" s="34" t="s">
        <v>169</v>
      </c>
      <c r="S816" s="8"/>
    </row>
    <row r="817" spans="1:19" x14ac:dyDescent="0.3">
      <c r="A817" s="28" t="e">
        <f>IF(C817="","",MAX($A$2:A816)+1)</f>
        <v>#REF!</v>
      </c>
      <c r="B817" s="41" t="s">
        <v>36</v>
      </c>
      <c r="C817" s="36">
        <v>46112</v>
      </c>
      <c r="D817" s="13" t="str">
        <f>_xlfn.XLOOKUP([1]!Table134526_79101120212223242526[[#This Row],[Name Surname]],[1]Manpower!$C$4:$C$1048576,[1]Manpower!$B$4:$B$1048576,"")</f>
        <v>Encogroup</v>
      </c>
      <c r="E817" s="13" t="s">
        <v>32</v>
      </c>
      <c r="F817" s="12">
        <f>_xlfn.XLOOKUP([1]!Table134526_79101120212223242526[[#This Row],[Name Surname]],[1]Manpower!C:C,[1]Manpower!D:D,)</f>
        <v>140683399</v>
      </c>
      <c r="G817" s="13" t="str">
        <f>_xlfn.XLOOKUP([1]!Table134526_79101120212223242526[[#This Row],[Name Surname]],[1]Manpower!$C$4:$C$1048576,[1]Manpower!$F$4:$F$1048576,"")</f>
        <v>Rigger</v>
      </c>
      <c r="H817" s="13" t="str">
        <f>_xlfn.XLOOKUP([1]!Table134526_79101120212223242526[[#This Row],[Name Surname]],[1]Manpower!$C$4:$C$1048576,[1]Manpower!$H$4:$H$1048576,"")</f>
        <v>Manpower</v>
      </c>
      <c r="I817" s="13" t="str">
        <f>_xlfn.XLOOKUP([1]!Table134526_79101120212223242526[[#This Row],[Name Surname]],[1]Manpower!$C$4:$C$1048576,[1]Manpower!$H$4:$H$1048576,"")</f>
        <v>Manpower</v>
      </c>
      <c r="J817" s="13" t="s">
        <v>23</v>
      </c>
      <c r="K817" s="37" t="s">
        <v>153</v>
      </c>
      <c r="L817" s="37" t="s">
        <v>25</v>
      </c>
      <c r="M817" s="37" t="s">
        <v>5</v>
      </c>
      <c r="N817" s="38">
        <v>10</v>
      </c>
      <c r="O817" s="13" t="s">
        <v>33</v>
      </c>
      <c r="P817" s="13" t="s">
        <v>33</v>
      </c>
      <c r="Q817" s="13" t="s">
        <v>33</v>
      </c>
      <c r="R817" s="37" t="s">
        <v>169</v>
      </c>
      <c r="S817" s="15"/>
    </row>
    <row r="818" spans="1:19" x14ac:dyDescent="0.3">
      <c r="A818" s="29" t="e">
        <f>IF(C818="","",MAX($A$2:A817)+1)</f>
        <v>#REF!</v>
      </c>
      <c r="B818" s="41" t="s">
        <v>36</v>
      </c>
      <c r="C818" s="33">
        <v>46112</v>
      </c>
      <c r="D818" s="34" t="str">
        <f>_xlfn.XLOOKUP([1]!Table134526_79101120212223242526[[#This Row],[Name Surname]],[1]Manpower!$C$4:$C$1048576,[1]Manpower!$B$4:$B$1048576,"")</f>
        <v>Encogroup</v>
      </c>
      <c r="E818" s="34" t="s">
        <v>34</v>
      </c>
      <c r="F818" s="4">
        <f>_xlfn.XLOOKUP([1]!Table134526_79101120212223242526[[#This Row],[Name Surname]],[1]Manpower!C:C,[1]Manpower!D:D,)</f>
        <v>141365164</v>
      </c>
      <c r="G818" s="34" t="str">
        <f>_xlfn.XLOOKUP([1]!Table134526_79101120212223242526[[#This Row],[Name Surname]],[1]Manpower!$C$4:$C$1048576,[1]Manpower!$F$4:$F$1048576,"")</f>
        <v>Helper</v>
      </c>
      <c r="H818" s="34" t="str">
        <f>_xlfn.XLOOKUP([1]!Table134526_79101120212223242526[[#This Row],[Name Surname]],[1]Manpower!$C$4:$C$1048576,[1]Manpower!$H$4:$H$1048576,"")</f>
        <v>Manpower</v>
      </c>
      <c r="I818" s="5" t="str">
        <f>_xlfn.XLOOKUP([1]!Table134526_79101120212223242526[[#This Row],[Name Surname]],[1]Manpower!$C$4:$C$1048576,[1]Manpower!$H$4:$H$1048576,"")</f>
        <v>Manpower</v>
      </c>
      <c r="J818" s="5" t="s">
        <v>23</v>
      </c>
      <c r="K818" s="34" t="s">
        <v>153</v>
      </c>
      <c r="L818" s="34" t="s">
        <v>25</v>
      </c>
      <c r="M818" s="34" t="s">
        <v>5</v>
      </c>
      <c r="N818" s="35">
        <v>10</v>
      </c>
      <c r="O818" s="5" t="s">
        <v>35</v>
      </c>
      <c r="P818" s="5" t="s">
        <v>35</v>
      </c>
      <c r="Q818" s="5" t="s">
        <v>35</v>
      </c>
      <c r="R818" s="34" t="s">
        <v>169</v>
      </c>
      <c r="S818" s="8"/>
    </row>
    <row r="819" spans="1:19" x14ac:dyDescent="0.3">
      <c r="A819" s="28" t="e">
        <f>IF(C819="","",MAX($A$2:A818)+1)</f>
        <v>#REF!</v>
      </c>
      <c r="B819" s="41" t="s">
        <v>36</v>
      </c>
      <c r="C819" s="36">
        <v>46112</v>
      </c>
      <c r="D819" s="37" t="str">
        <f>_xlfn.XLOOKUP([1]!Table134526_79101120212223242526[[#This Row],[Name Surname]],[1]Manpower!$C$4:$C$1048576,[1]Manpower!$B$4:$B$1048576,"")</f>
        <v>Bright Light</v>
      </c>
      <c r="E819" s="37" t="s">
        <v>120</v>
      </c>
      <c r="F819" s="12" t="e">
        <f>_xlfn.XLOOKUP([1]!Table134526_79101120212223242526[[#This Row],[Name Surname]],[1]Manpower!C:C,[1]Manpower!D:D,)</f>
        <v>#N/A</v>
      </c>
      <c r="G819" s="37" t="str">
        <f>_xlfn.XLOOKUP([1]!Table134526_79101120212223242526[[#This Row],[Name Surname]],[1]Manpower!$C$4:$C$1048576,[1]Manpower!$F$4:$F$1048576,"")</f>
        <v>Trailer</v>
      </c>
      <c r="H819" s="37" t="str">
        <f>_xlfn.XLOOKUP([1]!Table134526_79101120212223242526[[#This Row],[Name Surname]],[1]Manpower!$C$4:$C$1048576,[1]Manpower!$H$4:$H$1048576,"")</f>
        <v>Equipment</v>
      </c>
      <c r="I819" s="13" t="str">
        <f>_xlfn.XLOOKUP([1]!Table134526_79101120212223242526[[#This Row],[Name Surname]],[1]Manpower!$C$4:$C$1048576,[1]Manpower!$H$4:$H$1048576,"")</f>
        <v>Equipment</v>
      </c>
      <c r="J819" s="13" t="s">
        <v>23</v>
      </c>
      <c r="K819" s="37" t="s">
        <v>153</v>
      </c>
      <c r="L819" s="37" t="s">
        <v>25</v>
      </c>
      <c r="M819" s="37" t="s">
        <v>5</v>
      </c>
      <c r="N819" s="38">
        <v>10</v>
      </c>
      <c r="O819" s="13" t="s">
        <v>35</v>
      </c>
      <c r="P819" s="13" t="s">
        <v>35</v>
      </c>
      <c r="Q819" s="13" t="s">
        <v>35</v>
      </c>
      <c r="R819" s="37" t="s">
        <v>169</v>
      </c>
      <c r="S819" s="15"/>
    </row>
    <row r="820" spans="1:19" x14ac:dyDescent="0.3">
      <c r="A820" s="29" t="e">
        <f>IF(C820="","",MAX($A$2:A819)+1)</f>
        <v>#REF!</v>
      </c>
      <c r="B820" s="41" t="s">
        <v>36</v>
      </c>
      <c r="C820" s="33">
        <v>46112</v>
      </c>
      <c r="D820" s="34" t="str">
        <f>_xlfn.XLOOKUP([1]!Table134526_79101120212223242526[[#This Row],[Name Surname]],[1]Manpower!$C$4:$C$1048576,[1]Manpower!$B$4:$B$1048576,"")</f>
        <v>Encogroup</v>
      </c>
      <c r="E820" s="34" t="s">
        <v>43</v>
      </c>
      <c r="F820" s="4">
        <f>_xlfn.XLOOKUP([1]!Table134526_79101120212223242526[[#This Row],[Name Surname]],[1]Manpower!C:C,[1]Manpower!D:D,)</f>
        <v>140477664</v>
      </c>
      <c r="G820" s="34" t="str">
        <f>_xlfn.XLOOKUP([1]!Table134526_79101120212223242526[[#This Row],[Name Surname]],[1]Manpower!$C$4:$C$1048576,[1]Manpower!$F$4:$F$1048576,"")</f>
        <v>Junior HSE Officer</v>
      </c>
      <c r="H820" s="34" t="str">
        <f>_xlfn.XLOOKUP([1]!Table134526_79101120212223242526[[#This Row],[Name Surname]],[1]Manpower!$C$4:$C$1048576,[1]Manpower!$H$4:$H$1048576,"")</f>
        <v>Manpower</v>
      </c>
      <c r="I820" s="5" t="str">
        <f>_xlfn.XLOOKUP([1]!Table134526_79101120212223242526[[#This Row],[Name Surname]],[1]Manpower!$C$4:$C$1048576,[1]Manpower!$H$4:$H$1048576,"")</f>
        <v>Manpower</v>
      </c>
      <c r="J820" s="5" t="s">
        <v>38</v>
      </c>
      <c r="K820" s="34" t="s">
        <v>7</v>
      </c>
      <c r="L820" s="34" t="s">
        <v>156</v>
      </c>
      <c r="M820" s="34" t="s">
        <v>5</v>
      </c>
      <c r="N820" s="35">
        <v>10</v>
      </c>
      <c r="O820" s="5" t="s">
        <v>11</v>
      </c>
      <c r="P820" s="5" t="s">
        <v>13</v>
      </c>
      <c r="Q820" s="5" t="s">
        <v>13</v>
      </c>
      <c r="R820" s="34" t="s">
        <v>170</v>
      </c>
      <c r="S820" s="8"/>
    </row>
    <row r="821" spans="1:19" x14ac:dyDescent="0.3">
      <c r="A821" s="28" t="e">
        <f>IF(C821="","",MAX($A$2:A820)+1)</f>
        <v>#REF!</v>
      </c>
      <c r="B821" s="41" t="s">
        <v>36</v>
      </c>
      <c r="C821" s="36">
        <v>46112</v>
      </c>
      <c r="D821" s="13" t="str">
        <f>_xlfn.XLOOKUP([1]!Table134526_79101120212223242526[[#This Row],[Name Surname]],[1]Manpower!$C$4:$C$1048576,[1]Manpower!$B$4:$B$1048576,"")</f>
        <v>AL Omar International TRAD AND CONT</v>
      </c>
      <c r="E821" s="13" t="s">
        <v>1</v>
      </c>
      <c r="F821" s="12">
        <f>_xlfn.XLOOKUP([1]!Table134526_79101120212223242526[[#This Row],[Name Surname]],[1]Manpower!C:C,[1]Manpower!D:D,)</f>
        <v>116676257</v>
      </c>
      <c r="G821" s="13" t="str">
        <f>_xlfn.XLOOKUP([1]!Table134526_79101120212223242526[[#This Row],[Name Surname]],[1]Manpower!$C$4:$C$1048576,[1]Manpower!$F$4:$F$1048576,"")</f>
        <v>Scaffolder</v>
      </c>
      <c r="H821" s="13" t="str">
        <f>_xlfn.XLOOKUP([1]!Table134526_79101120212223242526[[#This Row],[Name Surname]],[1]Manpower!$C$4:$C$1048576,[1]Manpower!$H$4:$H$1048576,"")</f>
        <v>Sub Contactor</v>
      </c>
      <c r="I821" s="13" t="str">
        <f>_xlfn.XLOOKUP([1]!Table134526_79101120212223242526[[#This Row],[Name Surname]],[1]Manpower!$C$4:$C$1048576,[1]Manpower!$H$4:$H$1048576,"")</f>
        <v>Sub Contactor</v>
      </c>
      <c r="J821" s="13" t="s">
        <v>38</v>
      </c>
      <c r="K821" s="13"/>
      <c r="L821" s="37" t="s">
        <v>156</v>
      </c>
      <c r="M821" s="37" t="s">
        <v>5</v>
      </c>
      <c r="N821" s="38">
        <v>10</v>
      </c>
      <c r="O821" s="13" t="s">
        <v>11</v>
      </c>
      <c r="P821" s="13" t="s">
        <v>13</v>
      </c>
      <c r="Q821" s="13" t="s">
        <v>13</v>
      </c>
      <c r="R821" s="37" t="s">
        <v>170</v>
      </c>
      <c r="S821" s="15"/>
    </row>
    <row r="822" spans="1:19" x14ac:dyDescent="0.3">
      <c r="A822" s="29" t="e">
        <f>IF(C822="","",MAX($A$2:A821)+1)</f>
        <v>#REF!</v>
      </c>
      <c r="B822" s="41" t="s">
        <v>36</v>
      </c>
      <c r="C822" s="33">
        <v>46112</v>
      </c>
      <c r="D822" s="5" t="str">
        <f>_xlfn.XLOOKUP([1]!Table134526_79101120212223242526[[#This Row],[Name Surname]],[1]Manpower!$C$4:$C$1048576,[1]Manpower!$B$4:$B$1048576,"")</f>
        <v>Encogroup</v>
      </c>
      <c r="E822" s="5" t="s">
        <v>158</v>
      </c>
      <c r="F822" s="4">
        <f>_xlfn.XLOOKUP([1]!Table134526_79101120212223242526[[#This Row],[Name Surname]],[1]Manpower!C:C,[1]Manpower!D:D,)</f>
        <v>140846698</v>
      </c>
      <c r="G822" s="5" t="str">
        <f>_xlfn.XLOOKUP([1]!Table134526_79101120212223242526[[#This Row],[Name Surname]],[1]Manpower!$C$4:$C$1048576,[1]Manpower!$F$4:$F$1048576,"")</f>
        <v>Assistant/Helper</v>
      </c>
      <c r="H822" s="5" t="str">
        <f>_xlfn.XLOOKUP([1]!Table134526_79101120212223242526[[#This Row],[Name Surname]],[1]Manpower!$C$4:$C$1048576,[1]Manpower!$H$4:$H$1048576,"")</f>
        <v>Manpower</v>
      </c>
      <c r="I822" s="5" t="str">
        <f>_xlfn.XLOOKUP([1]!Table134526_79101120212223242526[[#This Row],[Name Surname]],[1]Manpower!$C$4:$C$1048576,[1]Manpower!$H$4:$H$1048576,"")</f>
        <v>Manpower</v>
      </c>
      <c r="J822" s="5" t="s">
        <v>38</v>
      </c>
      <c r="K822" s="5"/>
      <c r="L822" s="5" t="s">
        <v>39</v>
      </c>
      <c r="M822" s="5" t="s">
        <v>18</v>
      </c>
      <c r="N822" s="6">
        <v>10</v>
      </c>
      <c r="O822" s="5"/>
      <c r="P822" s="5"/>
      <c r="Q822" s="5"/>
      <c r="R822" s="5" t="s">
        <v>159</v>
      </c>
      <c r="S822" s="8"/>
    </row>
    <row r="823" spans="1:19" x14ac:dyDescent="0.3">
      <c r="A823" s="28" t="e">
        <f>IF(C823="","",MAX($A$2:A822)+1)</f>
        <v>#REF!</v>
      </c>
      <c r="B823" s="44" t="s">
        <v>36</v>
      </c>
      <c r="C823" s="36">
        <v>46112</v>
      </c>
      <c r="D823" s="13" t="str">
        <f>_xlfn.XLOOKUP([1]!Table134526_79101120212223242526[[#This Row],[Name Surname]],[1]Manpower!$C$4:$C$1048576,[1]Manpower!$B$4:$B$1048576,"")</f>
        <v>SARENS NASS</v>
      </c>
      <c r="E823" s="13" t="s">
        <v>164</v>
      </c>
      <c r="F823" s="12">
        <f>_xlfn.XLOOKUP([1]!Table134526_79101120212223242526[[#This Row],[Name Surname]],[1]Manpower!C:C,[1]Manpower!D:D,)</f>
        <v>109957631</v>
      </c>
      <c r="G823" s="13" t="str">
        <f>_xlfn.XLOOKUP([1]!Table134526_79101120212223242526[[#This Row],[Name Surname]],[1]Manpower!$C$4:$C$1048576,[1]Manpower!$F$4:$F$1048576,"")</f>
        <v>Crane Operator-130T Liebherr Crawler</v>
      </c>
      <c r="H823" s="13" t="str">
        <f>_xlfn.XLOOKUP([1]!Table134526_79101120212223242526[[#This Row],[Name Surname]],[1]Manpower!$C$4:$C$1048576,[1]Manpower!$H$4:$H$1048576,"")</f>
        <v>Manpower</v>
      </c>
      <c r="I823" s="13" t="str">
        <f>_xlfn.XLOOKUP([1]!Table134526_79101120212223242526[[#This Row],[Name Surname]],[1]Manpower!$C$4:$C$1048576,[1]Manpower!$H$4:$H$1048576,"")</f>
        <v>Manpower</v>
      </c>
      <c r="J823" s="13" t="s">
        <v>38</v>
      </c>
      <c r="K823" s="37" t="s">
        <v>7</v>
      </c>
      <c r="L823" s="37" t="s">
        <v>156</v>
      </c>
      <c r="M823" s="37" t="s">
        <v>5</v>
      </c>
      <c r="N823" s="38">
        <v>10</v>
      </c>
      <c r="O823" s="13" t="s">
        <v>11</v>
      </c>
      <c r="P823" s="13" t="s">
        <v>13</v>
      </c>
      <c r="Q823" s="13" t="s">
        <v>13</v>
      </c>
      <c r="R823" s="37" t="s">
        <v>163</v>
      </c>
      <c r="S823" s="15"/>
    </row>
    <row r="824" spans="1:19" x14ac:dyDescent="0.3">
      <c r="A824" s="29" t="e">
        <f>IF(C824="","",MAX($A$2:A822)+1)</f>
        <v>#REF!</v>
      </c>
      <c r="B824" s="43" t="s">
        <v>36</v>
      </c>
      <c r="C824" s="33">
        <v>46112</v>
      </c>
      <c r="D824" s="5" t="str">
        <f>_xlfn.XLOOKUP([1]!Table134526_79101120212223242526[[#This Row],[Name Surname]],[1]Manpower!$C$4:$C$1048576,[1]Manpower!$B$4:$B$1048576,"")</f>
        <v>Encogroup</v>
      </c>
      <c r="E824" s="5" t="s">
        <v>165</v>
      </c>
      <c r="F824" s="4">
        <f>_xlfn.XLOOKUP([1]!Table134526_79101120212223242526[[#This Row],[Name Surname]],[1]Manpower!C:C,[1]Manpower!D:D,)</f>
        <v>140742177</v>
      </c>
      <c r="G824" s="5" t="str">
        <f>_xlfn.XLOOKUP([1]!Table134526_79101120212223242526[[#This Row],[Name Surname]],[1]Manpower!$C$4:$C$1048576,[1]Manpower!$F$4:$F$1048576,"")</f>
        <v>Grinder</v>
      </c>
      <c r="H824" s="5" t="str">
        <f>_xlfn.XLOOKUP([1]!Table134526_79101120212223242526[[#This Row],[Name Surname]],[1]Manpower!$C$4:$C$1048576,[1]Manpower!$H$4:$H$1048576,"")</f>
        <v>Manpower</v>
      </c>
      <c r="I824" s="5" t="str">
        <f>_xlfn.XLOOKUP([1]!Table134526_79101120212223242526[[#This Row],[Name Surname]],[1]Manpower!$C$4:$C$1048576,[1]Manpower!$H$4:$H$1048576,"")</f>
        <v>Manpower</v>
      </c>
      <c r="J824" s="5" t="s">
        <v>38</v>
      </c>
      <c r="K824" s="34" t="s">
        <v>7</v>
      </c>
      <c r="L824" s="34" t="s">
        <v>156</v>
      </c>
      <c r="M824" s="34" t="s">
        <v>5</v>
      </c>
      <c r="N824" s="35">
        <v>10</v>
      </c>
      <c r="O824" s="5" t="s">
        <v>11</v>
      </c>
      <c r="P824" s="5" t="s">
        <v>13</v>
      </c>
      <c r="Q824" s="5" t="s">
        <v>13</v>
      </c>
      <c r="R824" s="34" t="s">
        <v>163</v>
      </c>
      <c r="S824" s="8"/>
    </row>
    <row r="825" spans="1:19" x14ac:dyDescent="0.3">
      <c r="A825" s="28" t="e">
        <f>IF(C825="","",MAX($A$2:A822)+1)</f>
        <v>#REF!</v>
      </c>
      <c r="B825" s="44" t="s">
        <v>36</v>
      </c>
      <c r="C825" s="36">
        <v>46112</v>
      </c>
      <c r="D825" s="13" t="str">
        <f>_xlfn.XLOOKUP([1]!Table134526_79101120212223242526[[#This Row],[Name Surname]],[1]Manpower!$C$4:$C$1048576,[1]Manpower!$B$4:$B$1048576,"")</f>
        <v>Encogroup</v>
      </c>
      <c r="E825" s="13" t="s">
        <v>166</v>
      </c>
      <c r="F825" s="12">
        <f>_xlfn.XLOOKUP([1]!Table134526_79101120212223242526[[#This Row],[Name Surname]],[1]Manpower!C:C,[1]Manpower!D:D,)</f>
        <v>116853914</v>
      </c>
      <c r="G825" s="13" t="str">
        <f>_xlfn.XLOOKUP([1]!Table134526_79101120212223242526[[#This Row],[Name Surname]],[1]Manpower!$C$4:$C$1048576,[1]Manpower!$F$4:$F$1048576,"")</f>
        <v>Electrical Supervisor</v>
      </c>
      <c r="H825" s="13" t="str">
        <f>_xlfn.XLOOKUP([1]!Table134526_79101120212223242526[[#This Row],[Name Surname]],[1]Manpower!$C$4:$C$1048576,[1]Manpower!$H$4:$H$1048576,"")</f>
        <v>Manpower</v>
      </c>
      <c r="I825" s="13" t="str">
        <f>_xlfn.XLOOKUP([1]!Table134526_79101120212223242526[[#This Row],[Name Surname]],[1]Manpower!$C$4:$C$1048576,[1]Manpower!$H$4:$H$1048576,"")</f>
        <v>Manpower</v>
      </c>
      <c r="J825" s="13" t="s">
        <v>38</v>
      </c>
      <c r="K825" s="37" t="s">
        <v>7</v>
      </c>
      <c r="L825" s="37" t="s">
        <v>156</v>
      </c>
      <c r="M825" s="37" t="s">
        <v>18</v>
      </c>
      <c r="N825" s="38">
        <v>10</v>
      </c>
      <c r="O825" s="13"/>
      <c r="P825" s="13"/>
      <c r="Q825" s="13"/>
      <c r="R825" s="37" t="s">
        <v>19</v>
      </c>
      <c r="S825" s="15"/>
    </row>
    <row r="826" spans="1:19" x14ac:dyDescent="0.3">
      <c r="A826" s="29" t="e">
        <f>IF(C826="","",MAX($A$2:A822)+1)</f>
        <v>#REF!</v>
      </c>
      <c r="B826" s="41" t="s">
        <v>36</v>
      </c>
      <c r="C826" s="33">
        <v>46112</v>
      </c>
      <c r="D826" s="34" t="str">
        <f>_xlfn.XLOOKUP([1]!Table134526_79101120212223242526[[#This Row],[Name Surname]],[1]Manpower!$C$4:$C$1048576,[1]Manpower!$B$4:$B$1048576,"")</f>
        <v>Encogroup</v>
      </c>
      <c r="E826" s="34" t="s">
        <v>37</v>
      </c>
      <c r="F826" s="4" t="e">
        <f>_xlfn.XLOOKUP([1]!Table134526_79101120212223242526[[#This Row],[Name Surname]],[1]Manpower!C:C,[1]Manpower!D:D,)</f>
        <v>#N/A</v>
      </c>
      <c r="G826" s="34" t="str">
        <f>_xlfn.XLOOKUP([1]!Table134526_79101120212223242526[[#This Row],[Name Surname]],[1]Manpower!$C$4:$C$1048576,[1]Manpower!$F$4:$F$1048576,"")</f>
        <v>TOWER LIGHT</v>
      </c>
      <c r="H826" s="34" t="str">
        <f>_xlfn.XLOOKUP([1]!Table134526_79101120212223242526[[#This Row],[Name Surname]],[1]Manpower!$C$4:$C$1048576,[1]Manpower!$H$4:$H$1048576,"")</f>
        <v>Equipment</v>
      </c>
      <c r="I826" s="5" t="str">
        <f>_xlfn.XLOOKUP([1]!Table134526_79101120212223242526[[#This Row],[Name Surname]],[1]Manpower!$C$4:$C$1048576,[1]Manpower!$H$4:$H$1048576,"")</f>
        <v>Equipment</v>
      </c>
      <c r="J826" s="5" t="s">
        <v>38</v>
      </c>
      <c r="K826" s="34" t="s">
        <v>7</v>
      </c>
      <c r="L826" s="34" t="s">
        <v>156</v>
      </c>
      <c r="M826" s="34" t="s">
        <v>5</v>
      </c>
      <c r="N826" s="35">
        <v>10</v>
      </c>
      <c r="O826" s="5" t="s">
        <v>11</v>
      </c>
      <c r="P826" s="5" t="s">
        <v>13</v>
      </c>
      <c r="Q826" s="5" t="s">
        <v>13</v>
      </c>
      <c r="R826" s="34" t="s">
        <v>170</v>
      </c>
      <c r="S826" s="8"/>
    </row>
    <row r="827" spans="1:19" x14ac:dyDescent="0.3">
      <c r="A827" s="28" t="e">
        <f>IF(C827="","",MAX($A$2:A826)+1)</f>
        <v>#REF!</v>
      </c>
      <c r="B827" s="41" t="s">
        <v>36</v>
      </c>
      <c r="C827" s="36">
        <v>46112</v>
      </c>
      <c r="D827" s="13" t="str">
        <f>_xlfn.XLOOKUP([1]!Table134526_79101120212223242526[[#This Row],[Name Surname]],[1]Manpower!$C$4:$C$1048576,[1]Manpower!$B$4:$B$1048576,"")</f>
        <v>Encogroup</v>
      </c>
      <c r="E827" s="13" t="s">
        <v>40</v>
      </c>
      <c r="F827" s="12" t="e">
        <f>_xlfn.XLOOKUP([1]!Table134526_79101120212223242526[[#This Row],[Name Surname]],[1]Manpower!C:C,[1]Manpower!D:D,)</f>
        <v>#N/A</v>
      </c>
      <c r="G827" s="13" t="str">
        <f>_xlfn.XLOOKUP([1]!Table134526_79101120212223242526[[#This Row],[Name Surname]],[1]Manpower!$C$4:$C$1048576,[1]Manpower!$F$4:$F$1048576,"")</f>
        <v>TOWER LIGHT</v>
      </c>
      <c r="H827" s="13" t="str">
        <f>_xlfn.XLOOKUP([1]!Table134526_79101120212223242526[[#This Row],[Name Surname]],[1]Manpower!$C$4:$C$1048576,[1]Manpower!$H$4:$H$1048576,"")</f>
        <v>Equipment</v>
      </c>
      <c r="I827" s="13" t="str">
        <f>_xlfn.XLOOKUP([1]!Table134526_79101120212223242526[[#This Row],[Name Surname]],[1]Manpower!$C$4:$C$1048576,[1]Manpower!$H$4:$H$1048576,"")</f>
        <v>Equipment</v>
      </c>
      <c r="J827" s="13" t="s">
        <v>38</v>
      </c>
      <c r="K827" s="37" t="s">
        <v>7</v>
      </c>
      <c r="L827" s="37" t="s">
        <v>156</v>
      </c>
      <c r="M827" s="37" t="s">
        <v>5</v>
      </c>
      <c r="N827" s="38">
        <v>10</v>
      </c>
      <c r="O827" s="13" t="s">
        <v>11</v>
      </c>
      <c r="P827" s="13" t="s">
        <v>13</v>
      </c>
      <c r="Q827" s="13" t="s">
        <v>13</v>
      </c>
      <c r="R827" s="37" t="s">
        <v>170</v>
      </c>
      <c r="S827" s="15"/>
    </row>
    <row r="828" spans="1:19" x14ac:dyDescent="0.3">
      <c r="A828" s="29" t="e">
        <f>IF(C828="","",MAX($A$2:A827)+1)</f>
        <v>#REF!</v>
      </c>
      <c r="B828" s="41" t="s">
        <v>36</v>
      </c>
      <c r="C828" s="33">
        <v>46112</v>
      </c>
      <c r="D828" s="34" t="str">
        <f>_xlfn.XLOOKUP([1]!Table134526_79101120212223242526[[#This Row],[Name Surname]],[1]Manpower!$C$4:$C$1048576,[1]Manpower!$B$4:$B$1048576,"")</f>
        <v>AL Omar International Tarde&amp;Contracting SPC</v>
      </c>
      <c r="E828" s="34" t="s">
        <v>45</v>
      </c>
      <c r="F828" s="4">
        <f>_xlfn.XLOOKUP([1]!Table134526_79101120212223242526[[#This Row],[Name Surname]],[1]Manpower!C:C,[1]Manpower!D:D,)</f>
        <v>115122635</v>
      </c>
      <c r="G828" s="34" t="str">
        <f>_xlfn.XLOOKUP([1]!Table134526_79101120212223242526[[#This Row],[Name Surname]],[1]Manpower!$C$4:$C$1048576,[1]Manpower!$F$4:$F$1048576,"")</f>
        <v>Scaffolder</v>
      </c>
      <c r="H828" s="34" t="str">
        <f>_xlfn.XLOOKUP([1]!Table134526_79101120212223242526[[#This Row],[Name Surname]],[1]Manpower!$C$4:$C$1048576,[1]Manpower!$H$4:$H$1048576,"")</f>
        <v>Sub Contactor</v>
      </c>
      <c r="I828" s="5" t="str">
        <f>_xlfn.XLOOKUP([1]!Table134526_79101120212223242526[[#This Row],[Name Surname]],[1]Manpower!$C$4:$C$1048576,[1]Manpower!$H$4:$H$1048576,"")</f>
        <v>Sub Contactor</v>
      </c>
      <c r="J828" s="5" t="s">
        <v>38</v>
      </c>
      <c r="K828" s="34" t="s">
        <v>7</v>
      </c>
      <c r="L828" s="34" t="s">
        <v>156</v>
      </c>
      <c r="M828" s="34" t="s">
        <v>5</v>
      </c>
      <c r="N828" s="35">
        <v>10</v>
      </c>
      <c r="O828" s="5" t="s">
        <v>11</v>
      </c>
      <c r="P828" s="5" t="s">
        <v>13</v>
      </c>
      <c r="Q828" s="5" t="s">
        <v>13</v>
      </c>
      <c r="R828" s="34" t="s">
        <v>170</v>
      </c>
      <c r="S828" s="8"/>
    </row>
    <row r="829" spans="1:19" x14ac:dyDescent="0.3">
      <c r="A829" s="28" t="e">
        <f>IF(C829="","",MAX($A$2:A828)+1)</f>
        <v>#REF!</v>
      </c>
      <c r="B829" s="41" t="s">
        <v>36</v>
      </c>
      <c r="C829" s="36">
        <v>46112</v>
      </c>
      <c r="D829" s="37" t="str">
        <f>_xlfn.XLOOKUP([1]!Table134526_79101120212223242526[[#This Row],[Name Surname]],[1]Manpower!$C$4:$C$1048576,[1]Manpower!$B$4:$B$1048576,"")</f>
        <v>Encogroup</v>
      </c>
      <c r="E829" s="37" t="s">
        <v>48</v>
      </c>
      <c r="F829" s="12">
        <f>_xlfn.XLOOKUP([1]!Table134526_79101120212223242526[[#This Row],[Name Surname]],[1]Manpower!C:C,[1]Manpower!D:D,)</f>
        <v>137114773</v>
      </c>
      <c r="G829" s="37" t="str">
        <f>_xlfn.XLOOKUP([1]!Table134526_79101120212223242526[[#This Row],[Name Surname]],[1]Manpower!$C$4:$C$1048576,[1]Manpower!$F$4:$F$1048576,"")</f>
        <v>Rigger</v>
      </c>
      <c r="H829" s="37" t="str">
        <f>_xlfn.XLOOKUP([1]!Table134526_79101120212223242526[[#This Row],[Name Surname]],[1]Manpower!$C$4:$C$1048576,[1]Manpower!$H$4:$H$1048576,"")</f>
        <v>Manpower</v>
      </c>
      <c r="I829" s="13" t="str">
        <f>_xlfn.XLOOKUP([1]!Table134526_79101120212223242526[[#This Row],[Name Surname]],[1]Manpower!$C$4:$C$1048576,[1]Manpower!$H$4:$H$1048576,"")</f>
        <v>Manpower</v>
      </c>
      <c r="J829" s="13" t="s">
        <v>38</v>
      </c>
      <c r="K829" s="37" t="s">
        <v>7</v>
      </c>
      <c r="L829" s="37" t="s">
        <v>156</v>
      </c>
      <c r="M829" s="37" t="s">
        <v>5</v>
      </c>
      <c r="N829" s="38">
        <v>10</v>
      </c>
      <c r="O829" s="13" t="s">
        <v>11</v>
      </c>
      <c r="P829" s="13" t="s">
        <v>13</v>
      </c>
      <c r="Q829" s="13" t="s">
        <v>13</v>
      </c>
      <c r="R829" s="37" t="s">
        <v>170</v>
      </c>
      <c r="S829" s="15"/>
    </row>
    <row r="830" spans="1:19" x14ac:dyDescent="0.3">
      <c r="A830" s="29" t="e">
        <f>IF(C830="","",MAX($A$2:A829)+1)</f>
        <v>#REF!</v>
      </c>
      <c r="B830" s="41" t="s">
        <v>36</v>
      </c>
      <c r="C830" s="33">
        <v>46112</v>
      </c>
      <c r="D830" s="34" t="str">
        <f>_xlfn.XLOOKUP([1]!Table134526_79101120212223242526[[#This Row],[Name Surname]],[1]Manpower!$C$4:$C$1048576,[1]Manpower!$B$4:$B$1048576,"")</f>
        <v>Encogroup</v>
      </c>
      <c r="E830" s="34" t="s">
        <v>49</v>
      </c>
      <c r="F830" s="4">
        <f>_xlfn.XLOOKUP([1]!Table134526_79101120212223242526[[#This Row],[Name Surname]],[1]Manpower!C:C,[1]Manpower!D:D,)</f>
        <v>122082863</v>
      </c>
      <c r="G830" s="34" t="str">
        <f>_xlfn.XLOOKUP([1]!Table134526_79101120212223242526[[#This Row],[Name Surname]],[1]Manpower!$C$4:$C$1048576,[1]Manpower!$F$4:$F$1048576,"")</f>
        <v>Grinder</v>
      </c>
      <c r="H830" s="34" t="str">
        <f>_xlfn.XLOOKUP([1]!Table134526_79101120212223242526[[#This Row],[Name Surname]],[1]Manpower!$C$4:$C$1048576,[1]Manpower!$H$4:$H$1048576,"")</f>
        <v>Manpower</v>
      </c>
      <c r="I830" s="5" t="str">
        <f>_xlfn.XLOOKUP([1]!Table134526_79101120212223242526[[#This Row],[Name Surname]],[1]Manpower!$C$4:$C$1048576,[1]Manpower!$H$4:$H$1048576,"")</f>
        <v>Manpower</v>
      </c>
      <c r="J830" s="5" t="s">
        <v>38</v>
      </c>
      <c r="K830" s="34" t="s">
        <v>7</v>
      </c>
      <c r="L830" s="34" t="s">
        <v>156</v>
      </c>
      <c r="M830" s="34" t="s">
        <v>5</v>
      </c>
      <c r="N830" s="35">
        <v>10</v>
      </c>
      <c r="O830" s="5" t="s">
        <v>11</v>
      </c>
      <c r="P830" s="5" t="s">
        <v>13</v>
      </c>
      <c r="Q830" s="5" t="s">
        <v>13</v>
      </c>
      <c r="R830" s="34" t="s">
        <v>170</v>
      </c>
      <c r="S830" s="8"/>
    </row>
    <row r="831" spans="1:19" x14ac:dyDescent="0.3">
      <c r="A831" s="28" t="e">
        <f>IF(C831="","",MAX($A$2:A830)+1)</f>
        <v>#REF!</v>
      </c>
      <c r="B831" s="41" t="s">
        <v>36</v>
      </c>
      <c r="C831" s="36">
        <v>46112</v>
      </c>
      <c r="D831" s="37" t="str">
        <f>_xlfn.XLOOKUP([1]!Table134526_79101120212223242526[[#This Row],[Name Surname]],[1]Manpower!$C$4:$C$1048576,[1]Manpower!$B$4:$B$1048576,"")</f>
        <v>Encogroup</v>
      </c>
      <c r="E831" s="37" t="s">
        <v>50</v>
      </c>
      <c r="F831" s="12">
        <f>_xlfn.XLOOKUP([1]!Table134526_79101120212223242526[[#This Row],[Name Surname]],[1]Manpower!C:C,[1]Manpower!D:D,)</f>
        <v>140696989</v>
      </c>
      <c r="G831" s="37" t="str">
        <f>_xlfn.XLOOKUP([1]!Table134526_79101120212223242526[[#This Row],[Name Surname]],[1]Manpower!$C$4:$C$1048576,[1]Manpower!$F$4:$F$1048576,"")</f>
        <v>Assistant/Helper</v>
      </c>
      <c r="H831" s="37" t="str">
        <f>_xlfn.XLOOKUP([1]!Table134526_79101120212223242526[[#This Row],[Name Surname]],[1]Manpower!$C$4:$C$1048576,[1]Manpower!$H$4:$H$1048576,"")</f>
        <v>Manpower</v>
      </c>
      <c r="I831" s="13" t="str">
        <f>_xlfn.XLOOKUP([1]!Table134526_79101120212223242526[[#This Row],[Name Surname]],[1]Manpower!$C$4:$C$1048576,[1]Manpower!$H$4:$H$1048576,"")</f>
        <v>Manpower</v>
      </c>
      <c r="J831" s="13" t="s">
        <v>38</v>
      </c>
      <c r="K831" s="37" t="s">
        <v>7</v>
      </c>
      <c r="L831" s="37" t="s">
        <v>156</v>
      </c>
      <c r="M831" s="37" t="s">
        <v>5</v>
      </c>
      <c r="N831" s="38">
        <v>10</v>
      </c>
      <c r="O831" s="13" t="s">
        <v>11</v>
      </c>
      <c r="P831" s="13" t="s">
        <v>13</v>
      </c>
      <c r="Q831" s="13" t="s">
        <v>13</v>
      </c>
      <c r="R831" s="37" t="s">
        <v>170</v>
      </c>
      <c r="S831" s="15"/>
    </row>
    <row r="832" spans="1:19" x14ac:dyDescent="0.3">
      <c r="A832" s="29" t="e">
        <f>IF(C832="","",MAX($A$2:A831)+1)</f>
        <v>#REF!</v>
      </c>
      <c r="B832" s="41" t="s">
        <v>36</v>
      </c>
      <c r="C832" s="33">
        <v>46112</v>
      </c>
      <c r="D832" s="34" t="str">
        <f>_xlfn.XLOOKUP([1]!Table134526_79101120212223242526[[#This Row],[Name Surname]],[1]Manpower!$C$4:$C$1048576,[1]Manpower!$B$4:$B$1048576,"")</f>
        <v>Encogroup</v>
      </c>
      <c r="E832" s="3" t="s">
        <v>51</v>
      </c>
      <c r="F832" s="4">
        <f>_xlfn.XLOOKUP([1]!Table134526_79101120212223242526[[#This Row],[Name Surname]],[1]Manpower!C:C,[1]Manpower!D:D,)</f>
        <v>141365094</v>
      </c>
      <c r="G832" s="34" t="str">
        <f>_xlfn.XLOOKUP([1]!Table134526_79101120212223242526[[#This Row],[Name Surname]],[1]Manpower!$C$4:$C$1048576,[1]Manpower!$F$4:$F$1048576,"")</f>
        <v>Helper</v>
      </c>
      <c r="H832" s="34" t="str">
        <f>_xlfn.XLOOKUP([1]!Table134526_79101120212223242526[[#This Row],[Name Surname]],[1]Manpower!$C$4:$C$1048576,[1]Manpower!$H$4:$H$1048576,"")</f>
        <v>Manpower</v>
      </c>
      <c r="I832" s="5" t="str">
        <f>_xlfn.XLOOKUP([1]!Table134526_79101120212223242526[[#This Row],[Name Surname]],[1]Manpower!$C$4:$C$1048576,[1]Manpower!$H$4:$H$1048576,"")</f>
        <v>Manpower</v>
      </c>
      <c r="J832" s="5" t="s">
        <v>38</v>
      </c>
      <c r="K832" s="34" t="s">
        <v>7</v>
      </c>
      <c r="L832" s="34" t="s">
        <v>156</v>
      </c>
      <c r="M832" s="34" t="s">
        <v>18</v>
      </c>
      <c r="N832" s="35">
        <v>10</v>
      </c>
      <c r="O832" s="5" t="s">
        <v>11</v>
      </c>
      <c r="P832" s="5" t="s">
        <v>13</v>
      </c>
      <c r="Q832" s="5" t="s">
        <v>13</v>
      </c>
      <c r="R832" s="34" t="s">
        <v>19</v>
      </c>
      <c r="S832" s="8"/>
    </row>
    <row r="833" spans="1:19" x14ac:dyDescent="0.3">
      <c r="A833" s="28" t="e">
        <f>IF(C833="","",MAX($A$2:A832)+1)</f>
        <v>#REF!</v>
      </c>
      <c r="B833" s="41" t="s">
        <v>36</v>
      </c>
      <c r="C833" s="36">
        <v>46112</v>
      </c>
      <c r="D833" s="37" t="str">
        <f>_xlfn.XLOOKUP([1]!Table134526_79101120212223242526[[#This Row],[Name Surname]],[1]Manpower!$C$4:$C$1048576,[1]Manpower!$B$4:$B$1048576,"")</f>
        <v xml:space="preserve">FAL Transport </v>
      </c>
      <c r="E833" s="36" t="s">
        <v>52</v>
      </c>
      <c r="F833" s="12">
        <f>_xlfn.XLOOKUP([1]!Table134526_79101120212223242526[[#This Row],[Name Surname]],[1]Manpower!C:C,[1]Manpower!D:D,)</f>
        <v>124233837</v>
      </c>
      <c r="G833" s="37" t="str">
        <f>_xlfn.XLOOKUP([1]!Table134526_79101120212223242526[[#This Row],[Name Surname]],[1]Manpower!$C$4:$C$1048576,[1]Manpower!$F$4:$F$1048576,"")</f>
        <v>Trailer Driver</v>
      </c>
      <c r="H833" s="37" t="str">
        <f>_xlfn.XLOOKUP([1]!Table134526_79101120212223242526[[#This Row],[Name Surname]],[1]Manpower!$C$4:$C$1048576,[1]Manpower!$H$4:$H$1048576,"")</f>
        <v>Sub Contactor</v>
      </c>
      <c r="I833" s="13" t="str">
        <f>_xlfn.XLOOKUP([1]!Table134526_79101120212223242526[[#This Row],[Name Surname]],[1]Manpower!$C$4:$C$1048576,[1]Manpower!$H$4:$H$1048576,"")</f>
        <v>Sub Contactor</v>
      </c>
      <c r="J833" s="13" t="s">
        <v>38</v>
      </c>
      <c r="K833" s="37" t="s">
        <v>7</v>
      </c>
      <c r="L833" s="37" t="s">
        <v>156</v>
      </c>
      <c r="M833" s="37" t="s">
        <v>5</v>
      </c>
      <c r="N833" s="38">
        <v>10</v>
      </c>
      <c r="O833" s="37"/>
      <c r="P833" s="37"/>
      <c r="Q833" s="37"/>
      <c r="R833" s="37" t="s">
        <v>170</v>
      </c>
      <c r="S833" s="15"/>
    </row>
    <row r="834" spans="1:19" x14ac:dyDescent="0.3">
      <c r="A834" s="29" t="e">
        <f>IF(C834="","",MAX($A$2:A833)+1)</f>
        <v>#REF!</v>
      </c>
      <c r="B834" s="41" t="s">
        <v>36</v>
      </c>
      <c r="C834" s="33">
        <v>46112</v>
      </c>
      <c r="D834" s="34" t="str">
        <f>_xlfn.XLOOKUP([1]!Table134526_79101120212223242526[[#This Row],[Name Surname]],[1]Manpower!$C$4:$C$1048576,[1]Manpower!$B$4:$B$1048576,"")</f>
        <v>Riyan Al Khaleej</v>
      </c>
      <c r="E834" s="34" t="s">
        <v>53</v>
      </c>
      <c r="F834" s="4" t="e">
        <f>_xlfn.XLOOKUP([1]!Table134526_79101120212223242526[[#This Row],[Name Surname]],[1]Manpower!C:C,[1]Manpower!D:D,)</f>
        <v>#N/A</v>
      </c>
      <c r="G834" s="34" t="str">
        <f>_xlfn.XLOOKUP([1]!Table134526_79101120212223242526[[#This Row],[Name Surname]],[1]Manpower!$C$4:$C$1048576,[1]Manpower!$F$4:$F$1048576,"")</f>
        <v>100T Telescopic Crane</v>
      </c>
      <c r="H834" s="34" t="str">
        <f>_xlfn.XLOOKUP([1]!Table134526_79101120212223242526[[#This Row],[Name Surname]],[1]Manpower!$C$4:$C$1048576,[1]Manpower!$H$4:$H$1048576,"")</f>
        <v>Equipment</v>
      </c>
      <c r="I834" s="5" t="str">
        <f>_xlfn.XLOOKUP([1]!Table134526_79101120212223242526[[#This Row],[Name Surname]],[1]Manpower!$C$4:$C$1048576,[1]Manpower!$H$4:$H$1048576,"")</f>
        <v>Equipment</v>
      </c>
      <c r="J834" s="5" t="s">
        <v>38</v>
      </c>
      <c r="K834" s="34" t="s">
        <v>7</v>
      </c>
      <c r="L834" s="34" t="s">
        <v>156</v>
      </c>
      <c r="M834" s="34" t="s">
        <v>5</v>
      </c>
      <c r="N834" s="35">
        <v>10</v>
      </c>
      <c r="O834" s="34"/>
      <c r="P834" s="34"/>
      <c r="Q834" s="34"/>
      <c r="R834" s="34" t="s">
        <v>170</v>
      </c>
      <c r="S834" s="8"/>
    </row>
    <row r="835" spans="1:19" x14ac:dyDescent="0.3">
      <c r="A835" s="28" t="e">
        <f>IF(C835="","",MAX($A$2:A834)+1)</f>
        <v>#REF!</v>
      </c>
      <c r="B835" s="41" t="s">
        <v>36</v>
      </c>
      <c r="C835" s="36">
        <v>46112</v>
      </c>
      <c r="D835" s="37" t="str">
        <f>_xlfn.XLOOKUP([1]!Table134526_79101120212223242526[[#This Row],[Name Surname]],[1]Manpower!$C$4:$C$1048576,[1]Manpower!$B$4:$B$1048576,"")</f>
        <v>Encogroup</v>
      </c>
      <c r="E835" s="37" t="s">
        <v>54</v>
      </c>
      <c r="F835" s="12">
        <f>_xlfn.XLOOKUP([1]!Table134526_79101120212223242526[[#This Row],[Name Surname]],[1]Manpower!C:C,[1]Manpower!D:D,)</f>
        <v>127414586</v>
      </c>
      <c r="G835" s="37" t="str">
        <f>_xlfn.XLOOKUP([1]!Table134526_79101120212223242526[[#This Row],[Name Surname]],[1]Manpower!$C$4:$C$1048576,[1]Manpower!$F$4:$F$1048576,"")</f>
        <v>Electrician</v>
      </c>
      <c r="H835" s="37" t="str">
        <f>_xlfn.XLOOKUP([1]!Table134526_79101120212223242526[[#This Row],[Name Surname]],[1]Manpower!$C$4:$C$1048576,[1]Manpower!$H$4:$H$1048576,"")</f>
        <v>Manpower</v>
      </c>
      <c r="I835" s="13" t="str">
        <f>_xlfn.XLOOKUP([1]!Table134526_79101120212223242526[[#This Row],[Name Surname]],[1]Manpower!$C$4:$C$1048576,[1]Manpower!$H$4:$H$1048576,"")</f>
        <v>Manpower</v>
      </c>
      <c r="J835" s="13" t="s">
        <v>38</v>
      </c>
      <c r="K835" s="37" t="s">
        <v>7</v>
      </c>
      <c r="L835" s="37" t="s">
        <v>156</v>
      </c>
      <c r="M835" s="37" t="s">
        <v>5</v>
      </c>
      <c r="N835" s="38">
        <v>10</v>
      </c>
      <c r="O835" s="37"/>
      <c r="P835" s="37"/>
      <c r="Q835" s="37"/>
      <c r="R835" s="37" t="s">
        <v>170</v>
      </c>
      <c r="S835" s="15"/>
    </row>
    <row r="836" spans="1:19" x14ac:dyDescent="0.3">
      <c r="A836" s="29" t="e">
        <f>IF(C836="","",MAX($A$2:A835)+1)</f>
        <v>#REF!</v>
      </c>
      <c r="B836" s="41" t="s">
        <v>36</v>
      </c>
      <c r="C836" s="33">
        <v>46112</v>
      </c>
      <c r="D836" s="34" t="str">
        <f>_xlfn.XLOOKUP([1]!Table134526_79101120212223242526[[#This Row],[Name Surname]],[1]Manpower!$C$4:$C$1048576,[1]Manpower!$B$4:$B$1048576,"")</f>
        <v>Encogroup</v>
      </c>
      <c r="E836" s="34" t="s">
        <v>55</v>
      </c>
      <c r="F836" s="4">
        <f>_xlfn.XLOOKUP([1]!Table134526_79101120212223242526[[#This Row],[Name Surname]],[1]Manpower!C:C,[1]Manpower!D:D,)</f>
        <v>127331574</v>
      </c>
      <c r="G836" s="34" t="str">
        <f>_xlfn.XLOOKUP([1]!Table134526_79101120212223242526[[#This Row],[Name Surname]],[1]Manpower!$C$4:$C$1048576,[1]Manpower!$F$4:$F$1048576,"")</f>
        <v>Permit Receiver</v>
      </c>
      <c r="H836" s="34" t="str">
        <f>_xlfn.XLOOKUP([1]!Table134526_79101120212223242526[[#This Row],[Name Surname]],[1]Manpower!$C$4:$C$1048576,[1]Manpower!$H$4:$H$1048576,"")</f>
        <v>Manpower</v>
      </c>
      <c r="I836" s="5" t="str">
        <f>_xlfn.XLOOKUP([1]!Table134526_79101120212223242526[[#This Row],[Name Surname]],[1]Manpower!$C$4:$C$1048576,[1]Manpower!$H$4:$H$1048576,"")</f>
        <v>Manpower</v>
      </c>
      <c r="J836" s="5" t="s">
        <v>38</v>
      </c>
      <c r="K836" s="34" t="s">
        <v>7</v>
      </c>
      <c r="L836" s="34" t="s">
        <v>156</v>
      </c>
      <c r="M836" s="34" t="s">
        <v>5</v>
      </c>
      <c r="N836" s="35">
        <v>10</v>
      </c>
      <c r="O836" s="34"/>
      <c r="P836" s="34"/>
      <c r="Q836" s="34"/>
      <c r="R836" s="34" t="s">
        <v>170</v>
      </c>
      <c r="S836" s="8"/>
    </row>
    <row r="837" spans="1:19" x14ac:dyDescent="0.3">
      <c r="A837" s="28" t="e">
        <f>IF(C837="","",MAX($A$2:A836)+1)</f>
        <v>#REF!</v>
      </c>
      <c r="B837" s="41" t="s">
        <v>36</v>
      </c>
      <c r="C837" s="36">
        <v>46112</v>
      </c>
      <c r="D837" s="37" t="str">
        <f>_xlfn.XLOOKUP([1]!Table134526_79101120212223242526[[#This Row],[Name Surname]],[1]Manpower!$C$4:$C$1048576,[1]Manpower!$B$4:$B$1048576,"")</f>
        <v>Encogroup</v>
      </c>
      <c r="E837" s="37" t="s">
        <v>56</v>
      </c>
      <c r="F837" s="12">
        <f>_xlfn.XLOOKUP([1]!Table134526_79101120212223242526[[#This Row],[Name Surname]],[1]Manpower!C:C,[1]Manpower!D:D,)</f>
        <v>116589569</v>
      </c>
      <c r="G837" s="37" t="str">
        <f>_xlfn.XLOOKUP([1]!Table134526_79101120212223242526[[#This Row],[Name Surname]],[1]Manpower!$C$4:$C$1048576,[1]Manpower!$F$4:$F$1048576,"")</f>
        <v>Mechanical Engineer</v>
      </c>
      <c r="H837" s="37" t="str">
        <f>_xlfn.XLOOKUP([1]!Table134526_79101120212223242526[[#This Row],[Name Surname]],[1]Manpower!$C$4:$C$1048576,[1]Manpower!$H$4:$H$1048576,"")</f>
        <v>Manpower</v>
      </c>
      <c r="I837" s="13" t="str">
        <f>_xlfn.XLOOKUP([1]!Table134526_79101120212223242526[[#This Row],[Name Surname]],[1]Manpower!$C$4:$C$1048576,[1]Manpower!$H$4:$H$1048576,"")</f>
        <v>Manpower</v>
      </c>
      <c r="J837" s="13" t="s">
        <v>38</v>
      </c>
      <c r="K837" s="37" t="s">
        <v>7</v>
      </c>
      <c r="L837" s="37" t="s">
        <v>156</v>
      </c>
      <c r="M837" s="37" t="s">
        <v>5</v>
      </c>
      <c r="N837" s="38">
        <v>10</v>
      </c>
      <c r="O837" s="37"/>
      <c r="P837" s="37"/>
      <c r="Q837" s="37"/>
      <c r="R837" s="37" t="s">
        <v>170</v>
      </c>
      <c r="S837" s="15"/>
    </row>
    <row r="838" spans="1:19" x14ac:dyDescent="0.3">
      <c r="A838" s="29" t="e">
        <f>IF(C838="","",MAX($A$2:A837)+1)</f>
        <v>#REF!</v>
      </c>
      <c r="B838" s="41" t="s">
        <v>36</v>
      </c>
      <c r="C838" s="33">
        <v>46112</v>
      </c>
      <c r="D838" s="34" t="str">
        <f>_xlfn.XLOOKUP([1]!Table134526_79101120212223242526[[#This Row],[Name Surname]],[1]Manpower!$C$4:$C$1048576,[1]Manpower!$B$4:$B$1048576,"")</f>
        <v>Encogroup</v>
      </c>
      <c r="E838" s="34" t="s">
        <v>111</v>
      </c>
      <c r="F838" s="4">
        <f>_xlfn.XLOOKUP([1]!Table134526_79101120212223242526[[#This Row],[Name Surname]],[1]Manpower!C:C,[1]Manpower!D:D,)</f>
        <v>99596058</v>
      </c>
      <c r="G838" s="34" t="str">
        <f>_xlfn.XLOOKUP([1]!Table134526_79101120212223242526[[#This Row],[Name Surname]],[1]Manpower!$C$4:$C$1048576,[1]Manpower!$F$4:$F$1048576,"")</f>
        <v>HSE Officer</v>
      </c>
      <c r="H838" s="34" t="str">
        <f>_xlfn.XLOOKUP([1]!Table134526_79101120212223242526[[#This Row],[Name Surname]],[1]Manpower!$C$4:$C$1048576,[1]Manpower!$H$4:$H$1048576,"")</f>
        <v>Manpower</v>
      </c>
      <c r="I838" s="5" t="str">
        <f>_xlfn.XLOOKUP([1]!Table134526_79101120212223242526[[#This Row],[Name Surname]],[1]Manpower!$C$4:$C$1048576,[1]Manpower!$H$4:$H$1048576,"")</f>
        <v>Manpower</v>
      </c>
      <c r="J838" s="5" t="s">
        <v>38</v>
      </c>
      <c r="K838" s="34" t="s">
        <v>7</v>
      </c>
      <c r="L838" s="34" t="s">
        <v>156</v>
      </c>
      <c r="M838" s="34" t="s">
        <v>18</v>
      </c>
      <c r="N838" s="35">
        <v>10</v>
      </c>
      <c r="O838" s="34"/>
      <c r="P838" s="34"/>
      <c r="Q838" s="34"/>
      <c r="R838" s="34" t="s">
        <v>19</v>
      </c>
      <c r="S838" s="8"/>
    </row>
    <row r="839" spans="1:19" x14ac:dyDescent="0.3">
      <c r="A839" s="28" t="e">
        <f>IF(C839="","",MAX($A$2:A838)+1)</f>
        <v>#REF!</v>
      </c>
      <c r="B839" s="41" t="s">
        <v>36</v>
      </c>
      <c r="C839" s="36">
        <v>46112</v>
      </c>
      <c r="D839" s="37" t="str">
        <f>_xlfn.XLOOKUP([1]!Table134526_79101120212223242526[[#This Row],[Name Surname]],[1]Manpower!$C$4:$C$1048576,[1]Manpower!$B$4:$B$1048576,"")</f>
        <v>Encogroup</v>
      </c>
      <c r="E839" s="37" t="s">
        <v>112</v>
      </c>
      <c r="F839" s="12">
        <f>_xlfn.XLOOKUP([1]!Table134526_79101120212223242526[[#This Row],[Name Surname]],[1]Manpower!C:C,[1]Manpower!D:D,)</f>
        <v>140697039</v>
      </c>
      <c r="G839" s="37" t="str">
        <f>_xlfn.XLOOKUP([1]!Table134526_79101120212223242526[[#This Row],[Name Surname]],[1]Manpower!$C$4:$C$1048576,[1]Manpower!$F$4:$F$1048576,"")</f>
        <v>Fitter/Erector</v>
      </c>
      <c r="H839" s="37" t="str">
        <f>_xlfn.XLOOKUP([1]!Table134526_79101120212223242526[[#This Row],[Name Surname]],[1]Manpower!$C$4:$C$1048576,[1]Manpower!$H$4:$H$1048576,"")</f>
        <v>Manpower</v>
      </c>
      <c r="I839" s="13" t="str">
        <f>_xlfn.XLOOKUP([1]!Table134526_79101120212223242526[[#This Row],[Name Surname]],[1]Manpower!$C$4:$C$1048576,[1]Manpower!$H$4:$H$1048576,"")</f>
        <v>Manpower</v>
      </c>
      <c r="J839" s="13" t="s">
        <v>38</v>
      </c>
      <c r="K839" s="37" t="s">
        <v>7</v>
      </c>
      <c r="L839" s="37" t="s">
        <v>156</v>
      </c>
      <c r="M839" s="37" t="s">
        <v>18</v>
      </c>
      <c r="N839" s="38">
        <v>10</v>
      </c>
      <c r="O839" s="37"/>
      <c r="P839" s="37"/>
      <c r="Q839" s="37"/>
      <c r="R839" s="37" t="s">
        <v>19</v>
      </c>
      <c r="S839" s="15"/>
    </row>
    <row r="840" spans="1:19" x14ac:dyDescent="0.3">
      <c r="A840" s="29" t="e">
        <f>IF(C840="","",MAX($A$2:A839)+1)</f>
        <v>#REF!</v>
      </c>
      <c r="B840" s="41" t="s">
        <v>36</v>
      </c>
      <c r="C840" s="33">
        <v>46112</v>
      </c>
      <c r="D840" s="34" t="str">
        <f>_xlfn.XLOOKUP([1]!Table134526_79101120212223242526[[#This Row],[Name Surname]],[1]Manpower!$C$4:$C$1048576,[1]Manpower!$B$4:$B$1048576,"")</f>
        <v>Encogroup</v>
      </c>
      <c r="E840" s="34" t="s">
        <v>123</v>
      </c>
      <c r="F840" s="4">
        <f>_xlfn.XLOOKUP([1]!Table134526_79101120212223242526[[#This Row],[Name Surname]],[1]Manpower!C:C,[1]Manpower!D:D,)</f>
        <v>141169085</v>
      </c>
      <c r="G840" s="34" t="str">
        <f>_xlfn.XLOOKUP([1]!Table134526_79101120212223242526[[#This Row],[Name Surname]],[1]Manpower!$C$4:$C$1048576,[1]Manpower!$F$4:$F$1048576,"")</f>
        <v>Welder</v>
      </c>
      <c r="H840" s="34" t="str">
        <f>_xlfn.XLOOKUP([1]!Table134526_79101120212223242526[[#This Row],[Name Surname]],[1]Manpower!$C$4:$C$1048576,[1]Manpower!$H$4:$H$1048576,"")</f>
        <v>Manpower</v>
      </c>
      <c r="I840" s="5" t="str">
        <f>_xlfn.XLOOKUP([1]!Table134526_79101120212223242526[[#This Row],[Name Surname]],[1]Manpower!$C$4:$C$1048576,[1]Manpower!$H$4:$H$1048576,"")</f>
        <v>Manpower</v>
      </c>
      <c r="J840" s="5" t="s">
        <v>38</v>
      </c>
      <c r="K840" s="34" t="s">
        <v>7</v>
      </c>
      <c r="L840" s="34" t="s">
        <v>156</v>
      </c>
      <c r="M840" s="34" t="s">
        <v>5</v>
      </c>
      <c r="N840" s="35">
        <v>10</v>
      </c>
      <c r="O840" s="34"/>
      <c r="P840" s="34"/>
      <c r="Q840" s="34"/>
      <c r="R840" s="34" t="s">
        <v>170</v>
      </c>
      <c r="S840" s="8"/>
    </row>
    <row r="841" spans="1:19" x14ac:dyDescent="0.3">
      <c r="A841" s="28" t="e">
        <f>IF(C841="","",MAX($A$2:A840)+1)</f>
        <v>#REF!</v>
      </c>
      <c r="B841" s="41" t="s">
        <v>36</v>
      </c>
      <c r="C841" s="36">
        <v>46112</v>
      </c>
      <c r="D841" s="37" t="str">
        <f>_xlfn.XLOOKUP([1]!Table134526_79101120212223242526[[#This Row],[Name Surname]],[1]Manpower!$C$4:$C$1048576,[1]Manpower!$B$4:$B$1048576,"")</f>
        <v>AL Omar International TRAD AND CONT</v>
      </c>
      <c r="E841" s="37" t="s">
        <v>57</v>
      </c>
      <c r="F841" s="12">
        <f>_xlfn.XLOOKUP([1]!Table134526_79101120212223242526[[#This Row],[Name Surname]],[1]Manpower!C:C,[1]Manpower!D:D,)</f>
        <v>114929202</v>
      </c>
      <c r="G841" s="37" t="str">
        <f>_xlfn.XLOOKUP([1]!Table134526_79101120212223242526[[#This Row],[Name Surname]],[1]Manpower!$C$4:$C$1048576,[1]Manpower!$F$4:$F$1048576,"")</f>
        <v>RIgger</v>
      </c>
      <c r="H841" s="37" t="str">
        <f>_xlfn.XLOOKUP([1]!Table134526_79101120212223242526[[#This Row],[Name Surname]],[1]Manpower!$C$4:$C$1048576,[1]Manpower!$H$4:$H$1048576,"")</f>
        <v>Sub Contactor</v>
      </c>
      <c r="I841" s="13" t="str">
        <f>_xlfn.XLOOKUP([1]!Table134526_79101120212223242526[[#This Row],[Name Surname]],[1]Manpower!$C$4:$C$1048576,[1]Manpower!$H$4:$H$1048576,"")</f>
        <v>Sub Contactor</v>
      </c>
      <c r="J841" s="13" t="s">
        <v>38</v>
      </c>
      <c r="K841" s="37" t="s">
        <v>7</v>
      </c>
      <c r="L841" s="37" t="s">
        <v>156</v>
      </c>
      <c r="M841" s="37" t="s">
        <v>5</v>
      </c>
      <c r="N841" s="38">
        <v>10</v>
      </c>
      <c r="O841" s="37"/>
      <c r="P841" s="37"/>
      <c r="Q841" s="37"/>
      <c r="R841" s="37" t="s">
        <v>170</v>
      </c>
      <c r="S841" s="15"/>
    </row>
    <row r="842" spans="1:19" x14ac:dyDescent="0.3">
      <c r="A842" s="29" t="e">
        <f>IF(C842="","",MAX($A$2:A858)+1)</f>
        <v>#REF!</v>
      </c>
      <c r="B842" s="41" t="s">
        <v>36</v>
      </c>
      <c r="C842" s="33">
        <v>46112</v>
      </c>
      <c r="D842" s="34" t="str">
        <f>_xlfn.XLOOKUP([1]!Table134526_79101120212223242526[[#This Row],[Name Surname]],[1]Manpower!$C$4:$C$1048576,[1]Manpower!$B$4:$B$1048576,"")</f>
        <v>Encogroup</v>
      </c>
      <c r="E842" s="33" t="s">
        <v>58</v>
      </c>
      <c r="F842" s="4">
        <f>_xlfn.XLOOKUP([1]!Table134526_79101120212223242526[[#This Row],[Name Surname]],[1]Manpower!C:C,[1]Manpower!D:D,)</f>
        <v>140742088</v>
      </c>
      <c r="G842" s="34" t="str">
        <f>_xlfn.XLOOKUP([1]!Table134526_79101120212223242526[[#This Row],[Name Surname]],[1]Manpower!$C$4:$C$1048576,[1]Manpower!$F$4:$F$1048576,"")</f>
        <v>Fitter/Erector</v>
      </c>
      <c r="H842" s="34" t="str">
        <f>_xlfn.XLOOKUP([1]!Table134526_79101120212223242526[[#This Row],[Name Surname]],[1]Manpower!$C$4:$C$1048576,[1]Manpower!$H$4:$H$1048576,"")</f>
        <v>Manpower</v>
      </c>
      <c r="I842" s="34" t="str">
        <f>_xlfn.XLOOKUP([1]!Table134526_79101120212223242526[[#This Row],[Name Surname]],[1]Manpower!$C$4:$C$1048576,[1]Manpower!$H$4:$H$1048576,"")</f>
        <v>Manpower</v>
      </c>
      <c r="J842" s="34" t="s">
        <v>38</v>
      </c>
      <c r="K842" s="5" t="s">
        <v>7</v>
      </c>
      <c r="L842" s="34" t="s">
        <v>156</v>
      </c>
      <c r="M842" s="34" t="s">
        <v>18</v>
      </c>
      <c r="N842" s="35">
        <v>10</v>
      </c>
      <c r="O842" s="5"/>
      <c r="P842" s="5"/>
      <c r="Q842" s="5"/>
      <c r="R842" s="34" t="s">
        <v>19</v>
      </c>
      <c r="S842" s="8"/>
    </row>
    <row r="843" spans="1:19" x14ac:dyDescent="0.3">
      <c r="A843" s="28" t="e">
        <f>IF(C843="","",MAX($A$2:A842)+1)</f>
        <v>#REF!</v>
      </c>
      <c r="B843" s="41" t="s">
        <v>36</v>
      </c>
      <c r="C843" s="36">
        <v>46112</v>
      </c>
      <c r="D843" s="37" t="str">
        <f>_xlfn.XLOOKUP([1]!Table134526_79101120212223242526[[#This Row],[Name Surname]],[1]Manpower!$C$4:$C$1048576,[1]Manpower!$B$4:$B$1048576,"")</f>
        <v>Encogroup</v>
      </c>
      <c r="E843" s="36" t="s">
        <v>59</v>
      </c>
      <c r="F843" s="12">
        <f>_xlfn.XLOOKUP([1]!Table134526_79101120212223242526[[#This Row],[Name Surname]],[1]Manpower!C:C,[1]Manpower!D:D,)</f>
        <v>141169047</v>
      </c>
      <c r="G843" s="37" t="str">
        <f>_xlfn.XLOOKUP([1]!Table134526_79101120212223242526[[#This Row],[Name Surname]],[1]Manpower!$C$4:$C$1048576,[1]Manpower!$F$4:$F$1048576,"")</f>
        <v>Welder</v>
      </c>
      <c r="H843" s="37" t="str">
        <f>_xlfn.XLOOKUP([1]!Table134526_79101120212223242526[[#This Row],[Name Surname]],[1]Manpower!$C$4:$C$1048576,[1]Manpower!$H$4:$H$1048576,"")</f>
        <v>Manpower</v>
      </c>
      <c r="I843" s="37" t="str">
        <f>_xlfn.XLOOKUP([1]!Table134526_79101120212223242526[[#This Row],[Name Surname]],[1]Manpower!$C$4:$C$1048576,[1]Manpower!$H$4:$H$1048576,"")</f>
        <v>Manpower</v>
      </c>
      <c r="J843" s="37" t="s">
        <v>38</v>
      </c>
      <c r="K843" s="13" t="s">
        <v>7</v>
      </c>
      <c r="L843" s="37" t="s">
        <v>156</v>
      </c>
      <c r="M843" s="37" t="s">
        <v>18</v>
      </c>
      <c r="N843" s="38">
        <v>10</v>
      </c>
      <c r="O843" s="13"/>
      <c r="P843" s="13"/>
      <c r="Q843" s="13"/>
      <c r="R843" s="37" t="s">
        <v>19</v>
      </c>
      <c r="S843" s="15"/>
    </row>
  </sheetData>
  <conditionalFormatting sqref="A2:A843">
    <cfRule type="expression" dxfId="2" priority="3">
      <formula>$M2="Idle"</formula>
    </cfRule>
  </conditionalFormatting>
  <conditionalFormatting sqref="E2:E87 E91 E97 E99 E107:E108 E114:E115 E117 E121 E126 E136:E137 E143:E144 E146 E150 E155 E165:E166 E172:E173 E175 E179 E184 E194:E195 E201:E214 E216:E231 E233 E237 E241:E242 E253:E254 E260:E261 E263 E267 E271:E272 E284:E285 E291:E292 E295 E298 E302:E303 E313:E314 E320:E321 E324 E327 E331:E332 E342:E343 E349:E350 E352 E356 E360:E361 E371:E372 E378:E379 E381 E385 E389:E390 E400:E401 E407:E409 E413 E418:E419 E431:E432 E439:E440 E443 E447 E463 E466 E477:E478 E480 E484 E500 E503 E512:E513 E516 E520 E537 E539 E545:E546 E549 E553 E570 E572 E581:E582 E586 E590 E607 E609 E618:E619 E623 E627 E634 E644 E647 E656:E657 E661 E665 E681 E683 E692:E693 E697 E701 E717 E719 E728:E729 E732 E736 E754:E755 E764:E765 E768 E772 E793:E794 E803:E804 E807 E811 E832:E833 E842:E843">
    <cfRule type="expression" dxfId="1" priority="1">
      <formula>COUNTIFS($C:$C,$C2,$E:$E,$E2)&gt;1</formula>
    </cfRule>
  </conditionalFormatting>
  <conditionalFormatting sqref="N2:N29 N31:N58 N68 N83:N85 N87:N90 N92:N115 N117:N120 N122:N144 N146:N149 N151:N171 N174 N179 N183 N200 N203 N212 N229 N232 N241 N259 N271 N277 N290 N302 N307 N319 N343 N348 N377 N389 N406 N418 N438 N452 N473:N476 N489 N508 N511 N526 N559">
    <cfRule type="expression" dxfId="0" priority="2">
      <formula>SUMIFS($O:$O,$C:$C,$C2,$E:$E,$E2)&gt;12</formula>
    </cfRule>
  </conditionalFormatting>
  <dataValidations count="7">
    <dataValidation type="date" operator="greaterThan" allowBlank="1" showInputMessage="1" showErrorMessage="1" sqref="C2:C231 C237 C267 C298 C327 C356 C385 C413 C447 C484 C520 C553 C590 C627 C665" xr:uid="{12A83E00-F3BA-4D83-B147-CF1211773616}">
      <formula1>45980</formula1>
    </dataValidation>
    <dataValidation type="list" allowBlank="1" showInputMessage="1" showErrorMessage="1" sqref="H2:H58 I3:I307 H64 H91 H121 H150 H179 H208 H237 H267 H298 H327:I327 I351:I365 H356 H385:I385 H413:I413 H447:I447 H484:I484 H520:I520 H553:I553 H590:I590 H627:I627 H665:I665 H701:I701 H736:I736 H772:I772 H811:I811" xr:uid="{A766486D-B1BF-4DB3-8440-4B72B61912DB}">
      <formula1>"Manpower,Equipment"</formula1>
    </dataValidation>
    <dataValidation type="list" allowBlank="1" showDropDown="1" showInputMessage="1" showErrorMessage="1" sqref="I2" xr:uid="{AE90D1F1-8F05-4B40-85C5-D736840F9323}">
      <formula1>"Manpower,Equipment"</formula1>
    </dataValidation>
    <dataValidation type="whole" allowBlank="1" showInputMessage="1" showErrorMessage="1" sqref="N2:N29 N31:N58 N68 N83:N85 N87:N90 N92:N115 N117:N120 N122:N144 N146:N149 N151:N171 N174 N179 N183 N200 N203 N212 N229 N232 N241 N259 N277 N271 N290 N307 N302 N319 N343 N348 N377 N389 N406 N418 N438 N452 N473:N476 N489 N508 N511 N526 N559" xr:uid="{83ABCCE9-FB8F-4D5F-913E-FDE1078DCD7E}">
      <formula1>0</formula1>
      <formula2>12</formula2>
    </dataValidation>
    <dataValidation type="list" allowBlank="1" showInputMessage="1" showErrorMessage="1" sqref="M2:M6 M19:M21 M30:M173 M179 M193:M194 M203:M211 M218 M220:M229 M213:M215 M232:M240 M246:M248 M242:M244 M250:M259 M262:M270 M272:M274 M276:M279 M281:M290 M293:M301 M307:M308 M303:M305 M310:M319 M322:M363 M368:M377 M365:M366 M380:M388 M390:M392 M394:M395 M397:M406 M409:M417 M419:M424 M426:M438 M441:M451 M453:M458 M460:M476 M479:M488 M490:M495 M497:M511 M514:M525 M527:M544 M547:M617 M620:M843" xr:uid="{A22DEFC6-D571-4B11-BDCB-A51687A3D428}">
      <formula1>"Day,Night,Idle"</formula1>
    </dataValidation>
    <dataValidation type="list" allowBlank="1" showInputMessage="1" showErrorMessage="1" sqref="Q3 Q7:Q9 Q11:Q13 Q22 Q24 Q27 Q30 Q32 Q36:Q38 Q54 Q58 Q174:Q176 Q182 Q200 Q203:Q207 Q209:Q211 Q229 Q232:Q236 Q238:Q240 Q246:Q247 Q259 Q262:Q266 Q268:Q270 Q276:Q279 Q290 Q293:Q297 Q299:Q301 Q307 Q319 Q322:Q326 Q328:Q331 Q336 Q351:Q355 Q357:Q359 Q365 Q377 Q380:Q384 Q386:Q388 Q394 Q406 Q409:Q412 Q414:Q417 Q420 Q423 Q433 Q438 Q442:Q446 Q448:Q451 Q455 Q471:Q476 Q479:Q483 Q485:Q488 Q492 Q508:Q511 Q514:Q519 Q521:Q525 Q529:Q530 Q547:Q552 Q554:Q558 Q562:Q563 Q572 Q577:Q580 Q583:Q589 Q591:Q595 Q599:Q600 Q609 Q614:Q617 Q620:Q626 Q628:Q632 Q636:Q637 Q646:Q647 Q652:Q655 Q658:Q664 Q666:Q671 Q674 Q683 Q688:Q691 Q694:Q700 Q702:Q707 Q710 Q719 Q724:Q727 Q730:Q738 Q740:Q741 Q755 Q760:Q763 Q766:Q774 Q776:Q777 Q794 Q799:Q802 Q805:Q813 Q815:Q816 Q833 Q838:Q841" xr:uid="{97BE6CB8-CCDC-4FF2-BDFF-2546F3AF4AA5}">
      <formula1>INDIRECT(SUBSTITUTE(O3," ",""))</formula1>
    </dataValidation>
    <dataValidation type="list" allowBlank="1" showInputMessage="1" showErrorMessage="1" sqref="P8 P11:P21 Q14:Q21 P27 P30 P38 P40:Q51 P200 P216:P219 P222:Q222 P229 P252:Q252 P245:P249 P259 P275:P280 P283:Q283 P290 P308:P309 P312:Q312 P306 P319 P337:P338 P341:Q341 P335 P366:P367 P370:Q370 P364 P377 P393 P395:P396 P399:Q399 P406 P420 P424:P425 P428:Q428 P433 P438 P441:Q441 P455 P458:P459 P462:Q462 P471:P476 P492 P495:P496 P499:Q499 P508:P511 P529:P530 P536:Q536 P533 P562:P563 P566 P572 P577:P580 P599:P600 P603 S600 P609 P614:P617 P636:P637 P640 P646:P647 P652:P655 P674 P677 P683 P688:P691 P710 P713 P719 P724:P727 P745:Q754 P755 P760:P763 P781:Q793 P794 P799:P802 P820:Q832 P833 P838:P841" xr:uid="{A8147393-E903-480B-8B95-AB334A5575D8}">
      <formula1>INDIRECT(SUBSTITUTE(O8,"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 Group</dc:creator>
  <cp:lastModifiedBy>Enco Group</cp:lastModifiedBy>
  <dcterms:created xsi:type="dcterms:W3CDTF">2026-04-20T06:54:07Z</dcterms:created>
  <dcterms:modified xsi:type="dcterms:W3CDTF">2026-04-20T07:06:01Z</dcterms:modified>
</cp:coreProperties>
</file>