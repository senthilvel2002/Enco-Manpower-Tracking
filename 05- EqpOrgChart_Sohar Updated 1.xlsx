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cog\Desktop\Eqp Org Chart\"/>
    </mc:Choice>
  </mc:AlternateContent>
  <xr:revisionPtr revIDLastSave="0" documentId="13_ncr:1_{EF58BB52-FB65-43F6-8DDB-D60C185AD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2" r:id="rId1"/>
    <sheet name="Cost" sheetId="3" r:id="rId2"/>
  </sheets>
  <definedNames>
    <definedName name="_xlnm.Print_Area" localSheetId="0">Org!$A$1:$X$68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23" i="3"/>
  <c r="D22" i="3"/>
  <c r="D20" i="3"/>
  <c r="C20" i="3"/>
  <c r="C12" i="3"/>
  <c r="C23" i="3"/>
  <c r="D57" i="3"/>
  <c r="C57" i="3"/>
  <c r="C22" i="3"/>
  <c r="D56" i="3"/>
  <c r="C56" i="3"/>
  <c r="D51" i="3"/>
  <c r="D52" i="3"/>
  <c r="C51" i="3"/>
  <c r="D50" i="3"/>
  <c r="C50" i="3"/>
  <c r="D46" i="3"/>
  <c r="C46" i="3"/>
  <c r="D25" i="3"/>
  <c r="C25" i="3"/>
  <c r="D53" i="3"/>
  <c r="C53" i="3"/>
  <c r="C52" i="3"/>
  <c r="D47" i="3"/>
  <c r="C47" i="3"/>
  <c r="D38" i="3"/>
  <c r="C38" i="3"/>
  <c r="D24" i="3"/>
  <c r="C24" i="3"/>
  <c r="D21" i="3"/>
  <c r="D17" i="3"/>
  <c r="C17" i="3"/>
  <c r="C35" i="3" l="1"/>
  <c r="D65" i="3"/>
  <c r="D64" i="3"/>
  <c r="D63" i="3"/>
  <c r="D62" i="3"/>
  <c r="D61" i="3"/>
  <c r="D60" i="3"/>
  <c r="D59" i="3"/>
  <c r="D58" i="3"/>
  <c r="D55" i="3"/>
  <c r="D54" i="3"/>
  <c r="D49" i="3"/>
  <c r="D48" i="3"/>
  <c r="D45" i="3"/>
  <c r="C62" i="3"/>
  <c r="C63" i="3"/>
  <c r="C64" i="3"/>
  <c r="C65" i="3"/>
  <c r="C61" i="3"/>
  <c r="C60" i="3"/>
  <c r="C59" i="3"/>
  <c r="C58" i="3"/>
  <c r="C55" i="3"/>
  <c r="C54" i="3"/>
  <c r="C49" i="3"/>
  <c r="C48" i="3"/>
  <c r="C45" i="3"/>
  <c r="C43" i="3"/>
  <c r="D41" i="3"/>
  <c r="D40" i="3"/>
  <c r="D39" i="3"/>
  <c r="D37" i="3"/>
  <c r="C41" i="3"/>
  <c r="C40" i="3"/>
  <c r="C39" i="3"/>
  <c r="C37" i="3"/>
  <c r="D11" i="3"/>
  <c r="C11" i="3"/>
  <c r="D10" i="3"/>
  <c r="C10" i="3"/>
  <c r="D7" i="3"/>
  <c r="C7" i="3"/>
  <c r="D4" i="3"/>
  <c r="C4" i="3"/>
  <c r="D33" i="3"/>
  <c r="D32" i="3"/>
  <c r="D31" i="3"/>
  <c r="D30" i="3"/>
  <c r="D29" i="3"/>
  <c r="C33" i="3"/>
  <c r="C32" i="3"/>
  <c r="C31" i="3"/>
  <c r="C30" i="3"/>
  <c r="C29" i="3"/>
  <c r="C27" i="3"/>
  <c r="D19" i="3"/>
  <c r="D18" i="3"/>
  <c r="D16" i="3"/>
  <c r="D9" i="3"/>
  <c r="D8" i="3"/>
  <c r="D6" i="3"/>
  <c r="D5" i="3"/>
  <c r="C21" i="3"/>
  <c r="C19" i="3"/>
  <c r="C18" i="3"/>
  <c r="C16" i="3"/>
  <c r="C14" i="3"/>
  <c r="C9" i="3"/>
  <c r="C8" i="3"/>
  <c r="C6" i="3"/>
  <c r="C5" i="3"/>
  <c r="C2" i="3"/>
</calcChain>
</file>

<file path=xl/sharedStrings.xml><?xml version="1.0" encoding="utf-8"?>
<sst xmlns="http://schemas.openxmlformats.org/spreadsheetml/2006/main" count="224" uniqueCount="83">
  <si>
    <t>ENCO - SOHAR</t>
  </si>
  <si>
    <t>ENCO - INDUSTRIAL AREA</t>
  </si>
  <si>
    <t>ENCO - SOHAR PORT (VALE)</t>
  </si>
  <si>
    <t>CONTRACTOR PARKING AREA</t>
  </si>
  <si>
    <t>YARD 2</t>
  </si>
  <si>
    <t>YARD 3</t>
  </si>
  <si>
    <t>LAYDOWN</t>
  </si>
  <si>
    <t>MODULE OFFLOADING / IPMT</t>
  </si>
  <si>
    <t>TSF</t>
  </si>
  <si>
    <t>CRANE</t>
  </si>
  <si>
    <t>100T SANY TELESCOPIC CRANE</t>
  </si>
  <si>
    <t>GENERATOR</t>
  </si>
  <si>
    <t>FORKLIFT</t>
  </si>
  <si>
    <t>MANLIFT</t>
  </si>
  <si>
    <t>40KVA CUMMINS GENERATOR</t>
  </si>
  <si>
    <t>14T FORKLIFT 2088LD</t>
  </si>
  <si>
    <t>HI-UP</t>
  </si>
  <si>
    <t>7T HI-UP 1077DS</t>
  </si>
  <si>
    <t>TOWER LIGHT</t>
  </si>
  <si>
    <t>TRAILER</t>
  </si>
  <si>
    <t>7T HYSTER FORKLIFT</t>
  </si>
  <si>
    <t>22KVA GENERATOR</t>
  </si>
  <si>
    <t/>
  </si>
  <si>
    <t>TELEHANDLER</t>
  </si>
  <si>
    <t>PICK-UP</t>
  </si>
  <si>
    <t>35/40KVA CUMMINS GENERATOR</t>
  </si>
  <si>
    <t>SCISSOR LIFT</t>
  </si>
  <si>
    <t>PICK-UP 2819DA (RENTAL)</t>
  </si>
  <si>
    <t>BUS</t>
  </si>
  <si>
    <t>22 SEAT BUS 2498YD</t>
  </si>
  <si>
    <t>22 SEAT BUS 8028WA</t>
  </si>
  <si>
    <t>15 SEAT BUS 9405YR</t>
  </si>
  <si>
    <t>COMPRESSOR</t>
  </si>
  <si>
    <t>13 SEAT BUS 4546MH</t>
  </si>
  <si>
    <t>KAESER COMPRESSOR</t>
  </si>
  <si>
    <t>AREA</t>
  </si>
  <si>
    <t>Qty</t>
  </si>
  <si>
    <t>80T GROVE TELESCOPIC CRANE</t>
  </si>
  <si>
    <t>41M JLG MANLIFT</t>
  </si>
  <si>
    <t>40T TADANO CRAWLER CRANE</t>
  </si>
  <si>
    <t>RENAULT LOWBED TRAILER 2939ML</t>
  </si>
  <si>
    <t>300/330KVA CUMMINS GENERATOR</t>
  </si>
  <si>
    <t>FLATBED TRAILER</t>
  </si>
  <si>
    <t>Hourly</t>
  </si>
  <si>
    <t>Daily</t>
  </si>
  <si>
    <t>Weekly</t>
  </si>
  <si>
    <t>Monthly</t>
  </si>
  <si>
    <t>N/A</t>
  </si>
  <si>
    <t>14M HAULOTE MANLIFT</t>
  </si>
  <si>
    <t>CONTRACT UNIT RATE</t>
  </si>
  <si>
    <t>OWNED BY ENCO</t>
  </si>
  <si>
    <t>SUPPLY RATE</t>
  </si>
  <si>
    <t>55 SEAT BUS 7885YM (RENTAL)</t>
  </si>
  <si>
    <t>12M SCISSOR LIFT 20251128-03</t>
  </si>
  <si>
    <t>12M SCISSOR LIFT 20251128-04</t>
  </si>
  <si>
    <t>FLATBED TRAILER 7465BM</t>
  </si>
  <si>
    <t>4T JCB TELEHANDLER 5630YW</t>
  </si>
  <si>
    <t>6.5 KW TOWER LIGHT LED LD1000JN202510071</t>
  </si>
  <si>
    <t>7.2KW TOWER LIGHT 2025121001</t>
  </si>
  <si>
    <t>7.2KW TOWER LIGHT 2702250306</t>
  </si>
  <si>
    <t>12M SCISSOR LIFT 20251128-01</t>
  </si>
  <si>
    <t>12M SCISSOR LIFT 20251128-02</t>
  </si>
  <si>
    <t>22M HAULOTTE MANLIFT 21648446</t>
  </si>
  <si>
    <t>22M HAULOTTE MANLIFT 2164847</t>
  </si>
  <si>
    <t>22M LCMG MANLIFT LWJAB202KS3720001</t>
  </si>
  <si>
    <t>28M LCMG MANLIFT LWJAB262ES3739913</t>
  </si>
  <si>
    <t xml:space="preserve">FLATBED TRAILER 3576MD (RENTAL) </t>
  </si>
  <si>
    <t>100T TELESCOPIC CRANE  3988DS (RENTAL)</t>
  </si>
  <si>
    <t xml:space="preserve">150T CRAWLER CRANE 3285LH (RENTAL) </t>
  </si>
  <si>
    <t xml:space="preserve">70T CRAWLER CRANE 6901YS (RENTAL) </t>
  </si>
  <si>
    <t>150T CRAWLER CRANE3286LH (RENTAL)</t>
  </si>
  <si>
    <t xml:space="preserve">70T TELESCOPIC CRANE 6427MH (RENTAL) </t>
  </si>
  <si>
    <t>130T CRAWLER CRANE  2854BA (RENTAL)</t>
  </si>
  <si>
    <t>7.2KW TOWER LIGHT 2702250311 (ENCO)</t>
  </si>
  <si>
    <t xml:space="preserve">TOWER LIGHT  2702250313 (ENCO) </t>
  </si>
  <si>
    <t xml:space="preserve">PICK-UP 4265BM (RENTAL) </t>
  </si>
  <si>
    <t xml:space="preserve">22 SEAT BUS 2746MB (DAMAGED) </t>
  </si>
  <si>
    <t xml:space="preserve">70T TELESCOPIC CRANE 3155MH (RENTAL) </t>
  </si>
  <si>
    <t xml:space="preserve">70T CRAWLER CRANE  9068HW (RENTAL) </t>
  </si>
  <si>
    <t>100T TELESCOPIC CRANE 9480ML (RENTAL)</t>
  </si>
  <si>
    <t xml:space="preserve">PICK-UP 569WA (RENTAL) </t>
  </si>
  <si>
    <t xml:space="preserve">PICK-UP 15BM (RENTAL) </t>
  </si>
  <si>
    <t>55 SEAT BUS  (RENTAL)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</si>
</sst>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OMR]\ #,##0.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3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8" xfId="0" quotePrefix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8" xfId="0" applyNumberFormat="1" applyBorder="1"/>
    <xf numFmtId="164" fontId="0" fillId="0" borderId="38" xfId="0" applyNumberFormat="1" applyBorder="1" applyAlignment="1">
      <alignment horizontal="center"/>
    </xf>
    <xf numFmtId="0" fontId="0" fillId="2" borderId="38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DCED"/>
      <color rgb="FF06EA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2428875</xdr:colOff>
      <xdr:row>56</xdr:row>
      <xdr:rowOff>31750</xdr:rowOff>
    </xdr:from>
    <xdr:ext cx="6605903" cy="1101088"/>
    <xdr:pic>
      <xdr:nvPicPr>
        <xdr:cNvPr id="2" name="Picture 1">
          <a:extLst>
            <a:ext uri="{FF2B5EF4-FFF2-40B4-BE49-F238E27FC236}">
              <a16:creationId xmlns:a16="http://schemas.microsoft.com/office/drawing/2014/main" id="{237C3CB0-24E9-41B2-AB78-7FAE3F65047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0" y="20351750"/>
          <a:ext cx="6605903" cy="11010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4"/>
  <sheetViews>
    <sheetView tabSelected="1" view="pageLayout" topLeftCell="S13" zoomScale="50" zoomScaleNormal="60" zoomScaleSheetLayoutView="40" zoomScalePageLayoutView="50" workbookViewId="0">
      <selection activeCell="F33" sqref="F33"/>
    </sheetView>
  </sheetViews>
  <sheetFormatPr defaultColWidth="10.6640625" defaultRowHeight="14.4" x14ac:dyDescent="0.3"/>
  <cols>
    <col min="1" max="1" width="11.44140625" customWidth="1"/>
    <col min="2" max="2" width="20.6640625" customWidth="1"/>
    <col min="3" max="3" width="20.6640625" style="1" customWidth="1"/>
    <col min="4" max="4" width="24.109375" style="1" customWidth="1"/>
    <col min="5" max="7" width="20.6640625" style="1" customWidth="1"/>
    <col min="8" max="8" width="15.77734375" style="1" customWidth="1"/>
    <col min="9" max="9" width="59.33203125" style="1" customWidth="1"/>
    <col min="10" max="10" width="49.6640625" style="1" customWidth="1"/>
    <col min="11" max="11" width="15.77734375" style="1" customWidth="1"/>
    <col min="12" max="12" width="61" style="1" bestFit="1" customWidth="1"/>
    <col min="13" max="13" width="49.6640625" style="1" customWidth="1"/>
    <col min="14" max="15" width="7.109375" style="1" customWidth="1"/>
    <col min="16" max="16" width="55.44140625" style="1" bestFit="1" customWidth="1"/>
    <col min="17" max="17" width="50" style="1" customWidth="1"/>
    <col min="18" max="18" width="15.77734375" style="1" customWidth="1"/>
    <col min="19" max="19" width="49.44140625" style="1" customWidth="1"/>
    <col min="20" max="20" width="44.6640625" style="1" customWidth="1"/>
    <col min="21" max="21" width="15.77734375" style="1" customWidth="1"/>
    <col min="22" max="23" width="78.77734375" style="1" customWidth="1"/>
    <col min="24" max="24" width="10.5546875" style="1" customWidth="1"/>
    <col min="25" max="25" width="20.5546875" style="1" customWidth="1"/>
    <col min="26" max="26" width="5.5546875" customWidth="1"/>
    <col min="27" max="28" width="20.5546875" style="1" customWidth="1"/>
    <col min="29" max="29" width="5.5546875" customWidth="1"/>
    <col min="30" max="31" width="21.5546875" style="1" customWidth="1"/>
    <col min="32" max="32" width="5.5546875" customWidth="1"/>
    <col min="33" max="34" width="20.5546875" style="1" customWidth="1"/>
  </cols>
  <sheetData>
    <row r="1" spans="1:40" s="5" customFormat="1" ht="30" customHeight="1" thickBot="1" x14ac:dyDescent="0.35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AA1" s="4"/>
      <c r="AB1" s="4"/>
      <c r="AD1" s="4"/>
      <c r="AE1" s="4"/>
      <c r="AG1" s="4"/>
      <c r="AH1" s="4"/>
    </row>
    <row r="2" spans="1:40" s="6" customFormat="1" ht="25.05" customHeight="1" thickBot="1" x14ac:dyDescent="0.35">
      <c r="A2" s="5"/>
      <c r="B2" s="5"/>
      <c r="C2" s="4"/>
      <c r="D2" s="4"/>
      <c r="E2" s="4"/>
      <c r="F2" s="4"/>
      <c r="G2" s="4"/>
      <c r="H2" s="4"/>
      <c r="I2" s="4"/>
      <c r="J2" s="4"/>
      <c r="K2" s="4"/>
      <c r="L2" s="91" t="s">
        <v>0</v>
      </c>
      <c r="M2" s="92"/>
      <c r="N2" s="92"/>
      <c r="O2" s="92"/>
      <c r="P2" s="92"/>
      <c r="Q2" s="93"/>
      <c r="R2" s="4"/>
      <c r="S2" s="4"/>
      <c r="T2" s="5"/>
      <c r="U2" s="4"/>
      <c r="V2" s="4"/>
      <c r="W2" s="5"/>
    </row>
    <row r="3" spans="1:40" s="6" customFormat="1" ht="25.05" customHeight="1" x14ac:dyDescent="0.3">
      <c r="A3" s="5"/>
      <c r="B3" s="5"/>
      <c r="C3" s="4"/>
      <c r="D3" s="4"/>
      <c r="E3" s="4"/>
      <c r="F3" s="4"/>
      <c r="G3" s="4"/>
      <c r="H3" s="4"/>
      <c r="I3" s="8"/>
      <c r="J3" s="4"/>
      <c r="K3" s="4"/>
      <c r="L3" s="9"/>
      <c r="M3" s="8"/>
      <c r="N3" s="10"/>
      <c r="O3" s="4"/>
      <c r="P3" s="4"/>
      <c r="Q3" s="4"/>
      <c r="R3" s="4"/>
      <c r="S3" s="4"/>
      <c r="T3" s="4"/>
      <c r="U3" s="4"/>
      <c r="V3" s="4"/>
      <c r="W3" s="4"/>
      <c r="X3" s="3"/>
      <c r="Y3" s="3"/>
      <c r="AA3" s="3"/>
      <c r="AB3" s="3"/>
      <c r="AD3" s="3"/>
      <c r="AE3" s="3"/>
      <c r="AG3" s="3"/>
      <c r="AH3" s="3"/>
    </row>
    <row r="4" spans="1:40" s="6" customFormat="1" ht="25.05" customHeight="1" thickBot="1" x14ac:dyDescent="0.35">
      <c r="A4" s="5"/>
      <c r="B4" s="5"/>
      <c r="C4" s="4"/>
      <c r="D4" s="4"/>
      <c r="E4" s="11"/>
      <c r="F4" s="12"/>
      <c r="G4" s="12"/>
      <c r="H4" s="12"/>
      <c r="I4" s="4"/>
      <c r="J4" s="12"/>
      <c r="K4" s="12"/>
      <c r="L4" s="12"/>
      <c r="M4" s="12"/>
      <c r="N4" s="12"/>
      <c r="O4" s="13"/>
      <c r="P4" s="13"/>
      <c r="Q4" s="13"/>
      <c r="R4" s="14"/>
      <c r="S4" s="4"/>
      <c r="T4" s="4"/>
      <c r="U4" s="4"/>
      <c r="V4" s="4"/>
      <c r="W4" s="4"/>
      <c r="X4" s="3"/>
      <c r="Y4" s="3"/>
      <c r="AA4" s="3"/>
      <c r="AB4" s="3"/>
      <c r="AD4" s="3"/>
      <c r="AE4" s="3"/>
      <c r="AG4" s="3"/>
      <c r="AH4" s="3"/>
    </row>
    <row r="5" spans="1:40" s="6" customFormat="1" ht="25.05" customHeight="1" thickBot="1" x14ac:dyDescent="0.35">
      <c r="A5" s="5"/>
      <c r="B5" s="91" t="s">
        <v>1</v>
      </c>
      <c r="C5" s="92"/>
      <c r="D5" s="92"/>
      <c r="E5" s="92"/>
      <c r="F5" s="92"/>
      <c r="G5" s="93"/>
      <c r="H5" s="15"/>
      <c r="I5" s="15"/>
      <c r="J5" s="15"/>
      <c r="K5" s="15"/>
      <c r="L5" s="15"/>
      <c r="M5" s="91" t="s">
        <v>2</v>
      </c>
      <c r="N5" s="92"/>
      <c r="O5" s="92"/>
      <c r="P5" s="92"/>
      <c r="Q5" s="92"/>
      <c r="R5" s="92"/>
      <c r="S5" s="92"/>
      <c r="T5" s="93"/>
      <c r="U5" s="5"/>
      <c r="V5" s="5"/>
      <c r="W5" s="5"/>
    </row>
    <row r="6" spans="1:40" s="6" customFormat="1" ht="25.05" customHeight="1" x14ac:dyDescent="0.3">
      <c r="A6" s="5"/>
      <c r="B6" s="5"/>
      <c r="C6" s="4"/>
      <c r="D6" s="16"/>
      <c r="E6" s="4"/>
      <c r="F6" s="4"/>
      <c r="G6" s="4"/>
      <c r="H6" s="5"/>
      <c r="I6" s="5"/>
      <c r="J6" s="5"/>
      <c r="K6" s="4"/>
      <c r="L6" s="4"/>
      <c r="M6" s="4"/>
      <c r="N6" s="17"/>
      <c r="O6" s="4"/>
      <c r="P6" s="4"/>
      <c r="Q6" s="4"/>
      <c r="R6" s="4"/>
      <c r="S6" s="4"/>
      <c r="T6" s="4"/>
      <c r="U6" s="4"/>
      <c r="V6" s="4"/>
      <c r="W6" s="4"/>
      <c r="X6" s="3"/>
      <c r="Y6" s="3"/>
      <c r="AA6" s="3"/>
      <c r="AB6" s="3"/>
      <c r="AD6" s="3"/>
      <c r="AE6" s="3"/>
      <c r="AG6" s="3"/>
      <c r="AH6" s="3"/>
    </row>
    <row r="7" spans="1:40" s="6" customFormat="1" ht="25.05" customHeight="1" thickBot="1" x14ac:dyDescent="0.35">
      <c r="A7" s="5"/>
      <c r="B7" s="4"/>
      <c r="C7" s="4"/>
      <c r="D7" s="18"/>
      <c r="E7" s="5"/>
      <c r="F7" s="5"/>
      <c r="G7" s="4"/>
      <c r="H7" s="5"/>
      <c r="I7" s="5"/>
      <c r="J7" s="19"/>
      <c r="K7" s="12"/>
      <c r="L7" s="20"/>
      <c r="M7" s="11"/>
      <c r="N7" s="12"/>
      <c r="O7" s="12"/>
      <c r="P7" s="21"/>
      <c r="Q7" s="22"/>
      <c r="R7" s="12"/>
      <c r="S7" s="12"/>
      <c r="T7" s="12"/>
      <c r="U7" s="20"/>
      <c r="V7" s="4"/>
      <c r="W7" s="4"/>
      <c r="X7" s="3"/>
      <c r="Y7" s="3"/>
      <c r="AA7" s="3"/>
      <c r="AB7" s="3"/>
      <c r="AD7" s="3"/>
      <c r="AE7" s="3"/>
      <c r="AG7" s="3"/>
      <c r="AH7" s="3"/>
    </row>
    <row r="8" spans="1:40" s="6" customFormat="1" ht="25.05" customHeight="1" thickBot="1" x14ac:dyDescent="0.35">
      <c r="A8" s="5"/>
      <c r="B8" s="4"/>
      <c r="C8" s="4"/>
      <c r="D8" s="18"/>
      <c r="E8" s="5"/>
      <c r="F8" s="5"/>
      <c r="G8" s="4"/>
      <c r="H8" s="5"/>
      <c r="I8" s="89" t="s">
        <v>3</v>
      </c>
      <c r="J8" s="90"/>
      <c r="K8" s="4"/>
      <c r="L8" s="89" t="s">
        <v>4</v>
      </c>
      <c r="M8" s="90"/>
      <c r="N8" s="4"/>
      <c r="O8" s="4"/>
      <c r="P8" s="89" t="s">
        <v>5</v>
      </c>
      <c r="Q8" s="90"/>
      <c r="R8" s="4"/>
      <c r="S8" s="4"/>
      <c r="T8" s="89" t="s">
        <v>6</v>
      </c>
      <c r="U8" s="97"/>
      <c r="V8" s="90"/>
      <c r="W8" s="4"/>
      <c r="X8" s="3"/>
      <c r="Y8" s="3"/>
      <c r="AA8" s="3"/>
      <c r="AB8" s="3"/>
      <c r="AD8" s="3"/>
      <c r="AE8" s="3"/>
      <c r="AG8" s="3"/>
      <c r="AH8" s="3"/>
      <c r="AJ8" s="3"/>
      <c r="AK8" s="3"/>
      <c r="AM8" s="3"/>
      <c r="AN8" s="3"/>
    </row>
    <row r="9" spans="1:40" s="6" customFormat="1" ht="25.05" customHeight="1" x14ac:dyDescent="0.3">
      <c r="A9" s="5"/>
      <c r="B9" s="4"/>
      <c r="C9" s="4"/>
      <c r="D9" s="18"/>
      <c r="E9" s="5"/>
      <c r="F9" s="5"/>
      <c r="G9" s="4"/>
      <c r="H9" s="5"/>
      <c r="I9" s="23"/>
      <c r="J9" s="24"/>
      <c r="K9" s="4"/>
      <c r="L9" s="23"/>
      <c r="M9" s="24"/>
      <c r="N9" s="4"/>
      <c r="O9" s="4"/>
      <c r="P9" s="23"/>
      <c r="Q9" s="24"/>
      <c r="R9" s="4"/>
      <c r="S9" s="4"/>
      <c r="T9" s="24"/>
      <c r="U9" s="25"/>
      <c r="V9" s="24"/>
      <c r="W9" s="4"/>
      <c r="X9" s="3"/>
      <c r="Y9" s="3"/>
      <c r="AA9" s="3"/>
      <c r="AB9" s="3"/>
      <c r="AD9" s="3"/>
      <c r="AE9" s="3"/>
      <c r="AG9" s="3"/>
      <c r="AH9" s="3"/>
      <c r="AJ9" s="3"/>
      <c r="AK9" s="3"/>
      <c r="AM9" s="3"/>
      <c r="AN9" s="3"/>
    </row>
    <row r="10" spans="1:40" s="6" customFormat="1" ht="25.05" customHeight="1" thickBot="1" x14ac:dyDescent="0.35">
      <c r="A10" s="5"/>
      <c r="B10" s="4"/>
      <c r="C10" s="4"/>
      <c r="D10" s="18"/>
      <c r="E10" s="5"/>
      <c r="F10" s="5"/>
      <c r="G10" s="4"/>
      <c r="H10" s="5"/>
      <c r="I10" s="18"/>
      <c r="J10" s="26"/>
      <c r="K10" s="4"/>
      <c r="L10" s="18"/>
      <c r="M10" s="26"/>
      <c r="N10" s="4"/>
      <c r="O10" s="4"/>
      <c r="P10" s="18"/>
      <c r="Q10" s="26"/>
      <c r="R10" s="4"/>
      <c r="S10" s="4"/>
      <c r="T10" s="11"/>
      <c r="U10" s="12"/>
      <c r="V10" s="20"/>
      <c r="W10" s="4"/>
      <c r="X10" s="3"/>
      <c r="Y10" s="3"/>
      <c r="AA10" s="3"/>
      <c r="AB10" s="3"/>
      <c r="AD10" s="3"/>
      <c r="AE10" s="3"/>
      <c r="AG10" s="3"/>
      <c r="AH10" s="3"/>
      <c r="AJ10" s="3"/>
      <c r="AK10" s="3"/>
      <c r="AM10" s="3"/>
      <c r="AN10" s="3"/>
    </row>
    <row r="11" spans="1:40" s="6" customFormat="1" ht="30" customHeight="1" thickBot="1" x14ac:dyDescent="0.35">
      <c r="A11" s="5"/>
      <c r="B11" s="4"/>
      <c r="C11" s="4"/>
      <c r="D11" s="18"/>
      <c r="E11" s="5"/>
      <c r="F11" s="5"/>
      <c r="G11" s="4"/>
      <c r="H11" s="5"/>
      <c r="I11" s="18"/>
      <c r="J11" s="26"/>
      <c r="K11" s="5"/>
      <c r="L11" s="18"/>
      <c r="M11" s="26"/>
      <c r="N11" s="4"/>
      <c r="O11" s="4"/>
      <c r="P11" s="18"/>
      <c r="Q11" s="26"/>
      <c r="R11" s="5"/>
      <c r="S11" s="89" t="s">
        <v>7</v>
      </c>
      <c r="T11" s="90"/>
      <c r="U11" s="5"/>
      <c r="V11" s="89" t="s">
        <v>8</v>
      </c>
      <c r="W11" s="90"/>
      <c r="X11" s="3"/>
      <c r="Y11" s="3"/>
      <c r="AA11" s="3"/>
      <c r="AB11" s="3"/>
      <c r="AD11" s="3"/>
      <c r="AE11" s="3"/>
      <c r="AG11" s="3"/>
      <c r="AH11" s="3"/>
      <c r="AJ11" s="3"/>
      <c r="AK11" s="3"/>
      <c r="AM11" s="3"/>
      <c r="AN11" s="3"/>
    </row>
    <row r="12" spans="1:40" s="6" customFormat="1" ht="30" customHeight="1" thickBot="1" x14ac:dyDescent="0.35">
      <c r="A12" s="5"/>
      <c r="B12" s="4"/>
      <c r="C12" s="4"/>
      <c r="D12" s="18"/>
      <c r="E12" s="5"/>
      <c r="F12" s="5"/>
      <c r="G12" s="4"/>
      <c r="H12" s="5"/>
      <c r="I12" s="18"/>
      <c r="J12" s="26"/>
      <c r="K12" s="5"/>
      <c r="L12" s="18"/>
      <c r="M12" s="26"/>
      <c r="N12" s="5"/>
      <c r="O12" s="5"/>
      <c r="P12" s="18"/>
      <c r="Q12" s="26"/>
      <c r="R12" s="5"/>
      <c r="S12" s="27"/>
      <c r="T12" s="28"/>
      <c r="U12" s="5"/>
      <c r="V12" s="27"/>
      <c r="W12" s="28"/>
      <c r="X12" s="3"/>
      <c r="Y12" s="3"/>
      <c r="AA12" s="3"/>
      <c r="AB12" s="3"/>
      <c r="AD12" s="3"/>
      <c r="AE12" s="3"/>
      <c r="AG12" s="3"/>
      <c r="AH12" s="3"/>
      <c r="AJ12" s="3"/>
      <c r="AK12" s="3"/>
      <c r="AM12" s="3"/>
      <c r="AN12" s="3"/>
    </row>
    <row r="13" spans="1:40" s="6" customFormat="1" ht="30" customHeight="1" thickBot="1" x14ac:dyDescent="0.35">
      <c r="A13" s="5"/>
      <c r="B13" s="73" t="s">
        <v>9</v>
      </c>
      <c r="C13" s="74"/>
      <c r="D13" s="74"/>
      <c r="E13" s="74"/>
      <c r="F13" s="74"/>
      <c r="G13" s="75"/>
      <c r="H13" s="5"/>
      <c r="I13" s="81" t="s">
        <v>9</v>
      </c>
      <c r="J13" s="82"/>
      <c r="K13" s="5"/>
      <c r="L13" s="81" t="s">
        <v>9</v>
      </c>
      <c r="M13" s="82"/>
      <c r="N13" s="5"/>
      <c r="O13" s="5"/>
      <c r="P13" s="81" t="s">
        <v>9</v>
      </c>
      <c r="Q13" s="82"/>
      <c r="R13" s="5"/>
      <c r="S13" s="81"/>
      <c r="T13" s="82"/>
      <c r="U13" s="5"/>
      <c r="V13" s="81" t="s">
        <v>9</v>
      </c>
      <c r="W13" s="82"/>
      <c r="X13" s="3"/>
      <c r="Y13" s="3"/>
      <c r="AA13" s="3"/>
      <c r="AB13" s="3"/>
      <c r="AD13" s="3"/>
      <c r="AE13" s="3"/>
      <c r="AG13" s="3"/>
      <c r="AH13" s="3"/>
      <c r="AJ13" s="3"/>
      <c r="AK13" s="3"/>
      <c r="AM13" s="3"/>
      <c r="AN13" s="3"/>
    </row>
    <row r="14" spans="1:40" s="6" customFormat="1" ht="30" customHeight="1" thickBot="1" x14ac:dyDescent="0.35">
      <c r="A14" s="5"/>
      <c r="B14" s="98" t="s">
        <v>39</v>
      </c>
      <c r="C14" s="99"/>
      <c r="D14" s="99"/>
      <c r="E14" s="99">
        <v>1</v>
      </c>
      <c r="F14" s="99"/>
      <c r="G14" s="100"/>
      <c r="H14" s="5"/>
      <c r="I14" s="29" t="s">
        <v>71</v>
      </c>
      <c r="J14" s="30">
        <v>1</v>
      </c>
      <c r="K14" s="5"/>
      <c r="L14" s="29" t="s">
        <v>67</v>
      </c>
      <c r="M14" s="30">
        <v>1</v>
      </c>
      <c r="N14" s="5"/>
      <c r="O14" s="5"/>
      <c r="P14" s="29" t="s">
        <v>69</v>
      </c>
      <c r="Q14" s="30">
        <v>1</v>
      </c>
      <c r="R14" s="5"/>
      <c r="S14" s="29"/>
      <c r="T14" s="30"/>
      <c r="U14" s="5"/>
      <c r="V14" s="29" t="s">
        <v>77</v>
      </c>
      <c r="W14" s="30">
        <v>1</v>
      </c>
      <c r="X14" s="3"/>
      <c r="Y14" s="3"/>
      <c r="AA14" s="3"/>
      <c r="AB14" s="3"/>
      <c r="AD14" s="3"/>
      <c r="AE14" s="3"/>
      <c r="AG14" s="3"/>
      <c r="AH14" s="3"/>
      <c r="AJ14" s="3"/>
      <c r="AK14" s="3"/>
      <c r="AM14" s="3"/>
      <c r="AN14" s="3"/>
    </row>
    <row r="15" spans="1:40" s="6" customFormat="1" ht="30" customHeight="1" thickBot="1" x14ac:dyDescent="0.35">
      <c r="A15" s="5"/>
      <c r="B15" s="94" t="s">
        <v>37</v>
      </c>
      <c r="C15" s="95"/>
      <c r="D15" s="95"/>
      <c r="E15" s="95">
        <v>1</v>
      </c>
      <c r="F15" s="95"/>
      <c r="G15" s="96"/>
      <c r="H15" s="5"/>
      <c r="I15" s="31" t="s">
        <v>72</v>
      </c>
      <c r="J15" s="32">
        <v>1</v>
      </c>
      <c r="K15" s="5"/>
      <c r="L15" s="31" t="s">
        <v>68</v>
      </c>
      <c r="M15" s="32">
        <v>1</v>
      </c>
      <c r="N15" s="5"/>
      <c r="O15" s="5"/>
      <c r="P15" s="31" t="s">
        <v>70</v>
      </c>
      <c r="Q15" s="32">
        <v>1</v>
      </c>
      <c r="R15" s="5"/>
      <c r="S15" s="33"/>
      <c r="T15" s="33"/>
      <c r="U15" s="5"/>
      <c r="V15" s="34" t="s">
        <v>78</v>
      </c>
      <c r="W15" s="35">
        <v>1</v>
      </c>
      <c r="X15" s="3"/>
      <c r="Y15" s="3"/>
      <c r="AA15" s="3"/>
      <c r="AB15" s="3"/>
      <c r="AD15" s="3"/>
      <c r="AE15" s="3"/>
      <c r="AG15" s="3"/>
      <c r="AH15" s="3"/>
      <c r="AJ15" s="3"/>
      <c r="AK15" s="3"/>
      <c r="AM15" s="3"/>
      <c r="AN15" s="3"/>
    </row>
    <row r="16" spans="1:40" s="6" customFormat="1" ht="30" customHeight="1" thickBot="1" x14ac:dyDescent="0.35">
      <c r="A16" s="5"/>
      <c r="B16" s="101" t="s">
        <v>10</v>
      </c>
      <c r="C16" s="87"/>
      <c r="D16" s="87"/>
      <c r="E16" s="87">
        <v>1</v>
      </c>
      <c r="F16" s="87"/>
      <c r="G16" s="88"/>
      <c r="H16" s="5"/>
      <c r="I16" s="36"/>
      <c r="J16" s="37"/>
      <c r="K16" s="5"/>
      <c r="L16" s="27"/>
      <c r="M16" s="28"/>
      <c r="N16" s="5"/>
      <c r="O16" s="5"/>
      <c r="P16" s="38"/>
      <c r="Q16" s="39"/>
      <c r="R16" s="5"/>
      <c r="S16" s="5"/>
      <c r="T16" s="5"/>
      <c r="U16" s="5"/>
      <c r="V16" s="31" t="s">
        <v>79</v>
      </c>
      <c r="W16" s="32">
        <v>1</v>
      </c>
      <c r="X16" s="3"/>
      <c r="Y16" s="3"/>
      <c r="AA16" s="3"/>
      <c r="AB16" s="3"/>
      <c r="AD16" s="3"/>
      <c r="AE16" s="3"/>
      <c r="AG16" s="3"/>
      <c r="AH16" s="3"/>
      <c r="AJ16" s="3"/>
      <c r="AK16" s="3"/>
      <c r="AM16" s="3"/>
      <c r="AN16" s="3"/>
    </row>
    <row r="17" spans="1:40" s="6" customFormat="1" ht="30" customHeight="1" thickBot="1" x14ac:dyDescent="0.35">
      <c r="A17" s="5"/>
      <c r="B17" s="40"/>
      <c r="C17" s="40"/>
      <c r="D17" s="41"/>
      <c r="E17" s="40"/>
      <c r="F17" s="4"/>
      <c r="G17" s="4"/>
      <c r="H17" s="5"/>
      <c r="I17" s="81" t="s">
        <v>13</v>
      </c>
      <c r="J17" s="82"/>
      <c r="K17" s="5"/>
      <c r="L17" s="81" t="s">
        <v>13</v>
      </c>
      <c r="M17" s="82"/>
      <c r="N17" s="5"/>
      <c r="O17" s="5"/>
      <c r="P17" s="81" t="s">
        <v>11</v>
      </c>
      <c r="Q17" s="82"/>
      <c r="R17" s="5"/>
      <c r="S17" s="5"/>
      <c r="T17" s="5"/>
      <c r="U17" s="5"/>
      <c r="V17" s="42"/>
      <c r="W17" s="43"/>
      <c r="X17" s="3"/>
      <c r="Y17" s="3"/>
      <c r="AA17" s="3"/>
      <c r="AB17" s="3"/>
      <c r="AD17" s="3"/>
      <c r="AE17" s="3"/>
      <c r="AG17" s="3"/>
      <c r="AH17" s="3"/>
      <c r="AJ17" s="3"/>
      <c r="AK17" s="3"/>
      <c r="AM17" s="3"/>
      <c r="AN17" s="3"/>
    </row>
    <row r="18" spans="1:40" s="6" customFormat="1" ht="30" customHeight="1" thickBot="1" x14ac:dyDescent="0.35">
      <c r="A18" s="5"/>
      <c r="B18" s="73" t="s">
        <v>13</v>
      </c>
      <c r="C18" s="74"/>
      <c r="D18" s="74"/>
      <c r="E18" s="74"/>
      <c r="F18" s="74"/>
      <c r="G18" s="75"/>
      <c r="H18" s="5"/>
      <c r="I18" s="44" t="s">
        <v>62</v>
      </c>
      <c r="J18" s="57">
        <v>1</v>
      </c>
      <c r="K18" s="5"/>
      <c r="L18" s="46" t="s">
        <v>64</v>
      </c>
      <c r="M18" s="47">
        <v>1</v>
      </c>
      <c r="N18" s="5"/>
      <c r="O18" s="5"/>
      <c r="P18" s="48" t="s">
        <v>14</v>
      </c>
      <c r="Q18" s="45">
        <v>1</v>
      </c>
      <c r="R18" s="5"/>
      <c r="S18" s="5"/>
      <c r="T18" s="5"/>
      <c r="U18" s="5"/>
      <c r="V18" s="81" t="s">
        <v>16</v>
      </c>
      <c r="W18" s="82"/>
      <c r="X18" s="3"/>
      <c r="Y18" s="3"/>
      <c r="AA18" s="3"/>
      <c r="AB18" s="3"/>
      <c r="AD18" s="3"/>
      <c r="AE18" s="3"/>
      <c r="AG18" s="3"/>
      <c r="AH18" s="3"/>
      <c r="AJ18" s="3"/>
      <c r="AK18" s="3"/>
      <c r="AM18" s="3"/>
      <c r="AN18" s="3"/>
    </row>
    <row r="19" spans="1:40" s="6" customFormat="1" ht="30" customHeight="1" thickBot="1" x14ac:dyDescent="0.35">
      <c r="A19" s="5"/>
      <c r="B19" s="105" t="s">
        <v>48</v>
      </c>
      <c r="C19" s="106"/>
      <c r="D19" s="107"/>
      <c r="E19" s="108">
        <v>1</v>
      </c>
      <c r="F19" s="106"/>
      <c r="G19" s="109"/>
      <c r="H19" s="5"/>
      <c r="I19" s="44" t="s">
        <v>63</v>
      </c>
      <c r="J19" s="45">
        <v>1</v>
      </c>
      <c r="K19" s="5"/>
      <c r="L19" s="31" t="s">
        <v>65</v>
      </c>
      <c r="M19" s="32">
        <v>1</v>
      </c>
      <c r="N19" s="5"/>
      <c r="O19" s="5"/>
      <c r="P19" s="5"/>
      <c r="Q19" s="28"/>
      <c r="R19" s="5"/>
      <c r="S19" s="5"/>
      <c r="T19" s="5"/>
      <c r="U19" s="5"/>
      <c r="V19" s="44" t="s">
        <v>17</v>
      </c>
      <c r="W19" s="45">
        <v>1</v>
      </c>
      <c r="X19" s="3"/>
      <c r="Y19" s="3"/>
      <c r="AA19" s="3"/>
      <c r="AB19" s="3"/>
      <c r="AD19" s="3"/>
      <c r="AE19" s="3"/>
      <c r="AG19" s="3"/>
      <c r="AH19" s="3"/>
      <c r="AJ19" s="3"/>
      <c r="AK19" s="3"/>
      <c r="AM19" s="3"/>
      <c r="AN19" s="3"/>
    </row>
    <row r="20" spans="1:40" s="6" customFormat="1" ht="30" customHeight="1" thickBot="1" x14ac:dyDescent="0.35">
      <c r="A20" s="5"/>
      <c r="B20" s="101" t="s">
        <v>38</v>
      </c>
      <c r="C20" s="87"/>
      <c r="D20" s="87"/>
      <c r="E20" s="87">
        <v>1</v>
      </c>
      <c r="F20" s="87"/>
      <c r="G20" s="88"/>
      <c r="H20" s="5"/>
      <c r="I20" s="27"/>
      <c r="J20" s="28"/>
      <c r="K20" s="5"/>
      <c r="L20" s="27"/>
      <c r="M20" s="49"/>
      <c r="N20" s="5"/>
      <c r="O20" s="5"/>
      <c r="P20" s="5"/>
      <c r="Q20" s="26"/>
      <c r="R20" s="5"/>
      <c r="S20" s="5"/>
      <c r="T20" s="5"/>
      <c r="U20" s="5"/>
      <c r="V20" s="38"/>
      <c r="W20" s="39"/>
      <c r="X20" s="3"/>
      <c r="Y20" s="3"/>
      <c r="AA20" s="3"/>
      <c r="AB20" s="3"/>
      <c r="AD20" s="3"/>
      <c r="AE20" s="3"/>
      <c r="AG20" s="3"/>
      <c r="AH20" s="3"/>
      <c r="AJ20" s="3"/>
      <c r="AK20" s="3"/>
      <c r="AM20" s="3"/>
      <c r="AN20" s="3"/>
    </row>
    <row r="21" spans="1:40" s="6" customFormat="1" ht="30" customHeight="1" thickBot="1" x14ac:dyDescent="0.35">
      <c r="A21" s="5"/>
      <c r="B21" s="40"/>
      <c r="C21" s="40"/>
      <c r="D21" s="41"/>
      <c r="E21" s="40"/>
      <c r="F21" s="4"/>
      <c r="G21" s="4"/>
      <c r="H21" s="5"/>
      <c r="I21" s="81" t="s">
        <v>18</v>
      </c>
      <c r="J21" s="82"/>
      <c r="K21" s="5"/>
      <c r="L21" s="81" t="s">
        <v>11</v>
      </c>
      <c r="M21" s="82"/>
      <c r="N21" s="5"/>
      <c r="O21" s="5"/>
      <c r="P21" s="5"/>
      <c r="Q21" s="26"/>
      <c r="R21" s="5"/>
      <c r="S21" s="50"/>
      <c r="T21" s="5"/>
      <c r="U21" s="5"/>
      <c r="V21" s="81" t="s">
        <v>12</v>
      </c>
      <c r="W21" s="82"/>
      <c r="X21" s="3"/>
      <c r="Y21" s="3"/>
      <c r="AA21" s="3"/>
      <c r="AB21" s="3"/>
      <c r="AD21" s="3"/>
      <c r="AE21" s="3"/>
      <c r="AG21" s="3"/>
      <c r="AH21" s="3"/>
      <c r="AJ21" s="3"/>
      <c r="AK21" s="3"/>
      <c r="AM21" s="3"/>
      <c r="AN21" s="3"/>
    </row>
    <row r="22" spans="1:40" s="6" customFormat="1" ht="30" customHeight="1" thickBot="1" x14ac:dyDescent="0.35">
      <c r="A22" s="5"/>
      <c r="B22" s="73" t="s">
        <v>12</v>
      </c>
      <c r="C22" s="74"/>
      <c r="D22" s="74"/>
      <c r="E22" s="74"/>
      <c r="F22" s="74"/>
      <c r="G22" s="75"/>
      <c r="H22" s="5"/>
      <c r="I22" s="29" t="s">
        <v>73</v>
      </c>
      <c r="J22" s="58">
        <v>1</v>
      </c>
      <c r="K22" s="5"/>
      <c r="L22" s="31" t="s">
        <v>21</v>
      </c>
      <c r="M22" s="45">
        <v>1</v>
      </c>
      <c r="N22" s="5"/>
      <c r="O22" s="5"/>
      <c r="P22" s="5"/>
      <c r="Q22" s="26"/>
      <c r="R22" s="5"/>
      <c r="S22" s="5"/>
      <c r="T22" s="5"/>
      <c r="U22" s="5"/>
      <c r="V22" s="44" t="s">
        <v>15</v>
      </c>
      <c r="W22" s="45">
        <v>1</v>
      </c>
      <c r="X22" s="3"/>
      <c r="Z22" s="3"/>
      <c r="AA22" s="3"/>
      <c r="AC22" s="3"/>
      <c r="AD22" s="3"/>
      <c r="AF22" s="3"/>
      <c r="AG22" s="3"/>
      <c r="AI22" s="3"/>
      <c r="AJ22" s="3"/>
    </row>
    <row r="23" spans="1:40" s="6" customFormat="1" ht="30" customHeight="1" thickBot="1" x14ac:dyDescent="0.35">
      <c r="A23" s="5"/>
      <c r="B23" s="76" t="s">
        <v>20</v>
      </c>
      <c r="C23" s="77"/>
      <c r="D23" s="78"/>
      <c r="E23" s="110">
        <v>1</v>
      </c>
      <c r="F23" s="77"/>
      <c r="G23" s="111"/>
      <c r="H23" s="5"/>
      <c r="I23" s="29" t="s">
        <v>74</v>
      </c>
      <c r="J23" s="30">
        <v>1</v>
      </c>
      <c r="K23" s="5"/>
      <c r="L23" s="51"/>
      <c r="M23" s="52"/>
      <c r="N23" s="53"/>
      <c r="O23" s="53"/>
      <c r="P23" s="54"/>
      <c r="Q23" s="5"/>
      <c r="R23" s="5"/>
      <c r="S23" s="5"/>
      <c r="T23" s="5"/>
      <c r="U23" s="5"/>
      <c r="V23" s="38"/>
      <c r="W23" s="39"/>
      <c r="X23" s="3"/>
      <c r="Y23" s="3"/>
      <c r="AA23" s="3"/>
      <c r="AB23" s="3"/>
      <c r="AD23" s="3"/>
      <c r="AE23" s="3"/>
      <c r="AG23" s="3"/>
      <c r="AH23" s="3"/>
      <c r="AJ23" s="3"/>
      <c r="AK23" s="3"/>
      <c r="AM23" s="3"/>
      <c r="AN23" s="3"/>
    </row>
    <row r="24" spans="1:40" s="6" customFormat="1" ht="30" customHeight="1" thickBot="1" x14ac:dyDescent="0.35">
      <c r="A24" s="5"/>
      <c r="B24" s="40"/>
      <c r="C24" s="40"/>
      <c r="D24" s="41"/>
      <c r="E24" s="40"/>
      <c r="F24" s="4"/>
      <c r="G24" s="4"/>
      <c r="H24" s="5"/>
      <c r="I24" s="27"/>
      <c r="J24" s="28"/>
      <c r="K24" s="5"/>
      <c r="L24" s="51"/>
      <c r="M24" s="51"/>
      <c r="N24" s="5"/>
      <c r="O24" s="55"/>
      <c r="P24" s="5"/>
      <c r="Q24" s="5"/>
      <c r="R24" s="5"/>
      <c r="S24" s="5"/>
      <c r="T24" s="5"/>
      <c r="U24" s="5"/>
      <c r="V24" s="81" t="s">
        <v>23</v>
      </c>
      <c r="W24" s="82"/>
      <c r="X24" s="3"/>
      <c r="Y24" s="3"/>
      <c r="AA24" s="3"/>
      <c r="AB24" s="3"/>
      <c r="AD24" s="3"/>
      <c r="AE24" s="3"/>
      <c r="AG24" s="3"/>
      <c r="AH24" s="3"/>
      <c r="AJ24" s="3"/>
      <c r="AK24" s="3"/>
    </row>
    <row r="25" spans="1:40" s="6" customFormat="1" ht="30" customHeight="1" thickBot="1" x14ac:dyDescent="0.35">
      <c r="A25" s="5"/>
      <c r="B25" s="73" t="s">
        <v>28</v>
      </c>
      <c r="C25" s="74"/>
      <c r="D25" s="74"/>
      <c r="E25" s="74"/>
      <c r="F25" s="74"/>
      <c r="G25" s="75"/>
      <c r="H25" s="5"/>
      <c r="I25" s="81" t="s">
        <v>24</v>
      </c>
      <c r="J25" s="82"/>
      <c r="K25" s="5"/>
      <c r="L25" s="5"/>
      <c r="M25" s="81" t="s">
        <v>19</v>
      </c>
      <c r="N25" s="83"/>
      <c r="O25" s="83"/>
      <c r="P25" s="82"/>
      <c r="Q25" s="5"/>
      <c r="R25" s="5"/>
      <c r="S25" s="5"/>
      <c r="T25" s="5"/>
      <c r="U25" s="5"/>
      <c r="V25" s="44" t="s">
        <v>56</v>
      </c>
      <c r="W25" s="45">
        <v>1</v>
      </c>
      <c r="X25" s="3"/>
      <c r="Y25" s="3"/>
      <c r="AA25" s="3"/>
      <c r="AB25" s="3"/>
      <c r="AD25" s="3"/>
      <c r="AE25" s="3"/>
      <c r="AG25" s="3"/>
      <c r="AH25" s="3"/>
      <c r="AJ25" s="3"/>
      <c r="AK25" s="3"/>
    </row>
    <row r="26" spans="1:40" s="6" customFormat="1" ht="30" customHeight="1" thickBot="1" x14ac:dyDescent="0.35">
      <c r="A26" s="5"/>
      <c r="B26" s="76" t="s">
        <v>76</v>
      </c>
      <c r="C26" s="77"/>
      <c r="D26" s="77"/>
      <c r="E26" s="79">
        <v>1</v>
      </c>
      <c r="F26" s="79"/>
      <c r="G26" s="80"/>
      <c r="H26" s="5"/>
      <c r="I26" s="44" t="s">
        <v>75</v>
      </c>
      <c r="J26" s="45">
        <v>1</v>
      </c>
      <c r="K26" s="5"/>
      <c r="L26" s="15"/>
      <c r="M26" s="84" t="s">
        <v>66</v>
      </c>
      <c r="N26" s="85"/>
      <c r="O26" s="86"/>
      <c r="P26" s="45">
        <v>1</v>
      </c>
      <c r="Q26" s="5"/>
      <c r="R26" s="5"/>
      <c r="S26" s="5"/>
      <c r="T26" s="5"/>
      <c r="U26" s="5"/>
      <c r="V26" s="38"/>
      <c r="W26" s="39"/>
      <c r="X26" s="3"/>
      <c r="Y26" s="3"/>
      <c r="AA26" s="3"/>
      <c r="AB26" s="3"/>
      <c r="AD26" s="3"/>
      <c r="AE26" s="3"/>
      <c r="AG26" s="3"/>
      <c r="AH26" s="3"/>
      <c r="AJ26" s="3"/>
      <c r="AK26" s="3"/>
    </row>
    <row r="27" spans="1:40" s="5" customFormat="1" ht="30" customHeight="1" thickBot="1" x14ac:dyDescent="0.35">
      <c r="B27" s="40"/>
      <c r="C27" s="40"/>
      <c r="D27" s="41"/>
      <c r="E27" s="40"/>
      <c r="F27" s="4"/>
      <c r="G27" s="4"/>
      <c r="I27" s="27"/>
      <c r="J27" s="28"/>
      <c r="L27" s="15"/>
      <c r="M27" s="51"/>
      <c r="O27" s="55"/>
      <c r="V27" s="81" t="s">
        <v>19</v>
      </c>
      <c r="W27" s="82"/>
      <c r="X27" s="4"/>
      <c r="Y27" s="4"/>
      <c r="AA27" s="4"/>
      <c r="AB27" s="4"/>
      <c r="AD27" s="4"/>
      <c r="AE27" s="4"/>
      <c r="AG27" s="4"/>
      <c r="AH27" s="4"/>
      <c r="AJ27" s="4"/>
      <c r="AK27" s="4"/>
      <c r="AM27" s="4"/>
      <c r="AN27" s="4"/>
    </row>
    <row r="28" spans="1:40" s="5" customFormat="1" ht="30" customHeight="1" thickBot="1" x14ac:dyDescent="0.35">
      <c r="B28" s="73" t="s">
        <v>19</v>
      </c>
      <c r="C28" s="74"/>
      <c r="D28" s="74"/>
      <c r="E28" s="74"/>
      <c r="F28" s="74"/>
      <c r="G28" s="75"/>
      <c r="I28" s="81" t="s">
        <v>26</v>
      </c>
      <c r="J28" s="82"/>
      <c r="L28" s="15"/>
      <c r="M28" s="81" t="s">
        <v>24</v>
      </c>
      <c r="N28" s="83"/>
      <c r="O28" s="83"/>
      <c r="P28" s="82"/>
      <c r="V28" s="29" t="s">
        <v>55</v>
      </c>
      <c r="W28" s="30">
        <v>1</v>
      </c>
      <c r="X28" s="4"/>
      <c r="Y28" s="4"/>
      <c r="AA28" s="4"/>
      <c r="AB28" s="4"/>
      <c r="AD28" s="4"/>
      <c r="AE28" s="4"/>
      <c r="AG28" s="4"/>
      <c r="AH28" s="4"/>
      <c r="AJ28" s="4"/>
      <c r="AK28" s="4"/>
      <c r="AM28" s="4"/>
      <c r="AN28" s="4"/>
    </row>
    <row r="29" spans="1:40" s="5" customFormat="1" ht="30" customHeight="1" thickBot="1" x14ac:dyDescent="0.35">
      <c r="B29" s="102" t="s">
        <v>42</v>
      </c>
      <c r="C29" s="103"/>
      <c r="D29" s="103"/>
      <c r="E29" s="103">
        <v>1</v>
      </c>
      <c r="F29" s="103"/>
      <c r="G29" s="104"/>
      <c r="I29" s="44" t="s">
        <v>60</v>
      </c>
      <c r="J29" s="45">
        <v>1</v>
      </c>
      <c r="M29" s="84" t="s">
        <v>27</v>
      </c>
      <c r="N29" s="85"/>
      <c r="O29" s="86"/>
      <c r="P29" s="45">
        <v>1</v>
      </c>
      <c r="V29" s="31" t="s">
        <v>40</v>
      </c>
      <c r="W29" s="32">
        <v>1</v>
      </c>
      <c r="X29" s="4"/>
      <c r="Y29" s="4"/>
      <c r="AA29" s="4"/>
      <c r="AB29" s="4"/>
      <c r="AD29" s="4"/>
      <c r="AE29" s="4"/>
      <c r="AG29" s="4"/>
      <c r="AH29" s="4"/>
      <c r="AJ29" s="4"/>
      <c r="AK29" s="4"/>
      <c r="AM29" s="4"/>
      <c r="AN29" s="4"/>
    </row>
    <row r="30" spans="1:40" s="5" customFormat="1" ht="30" customHeight="1" thickBot="1" x14ac:dyDescent="0.35">
      <c r="B30" s="40"/>
      <c r="C30" s="40"/>
      <c r="D30" s="41"/>
      <c r="E30" s="40"/>
      <c r="F30" s="4"/>
      <c r="G30" s="4"/>
      <c r="I30" s="44" t="s">
        <v>61</v>
      </c>
      <c r="J30" s="45">
        <v>1</v>
      </c>
      <c r="M30" s="51"/>
      <c r="P30" s="4"/>
      <c r="V30" s="27"/>
      <c r="W30" s="28"/>
      <c r="X30" s="4"/>
      <c r="Y30" s="4"/>
      <c r="AA30" s="4"/>
      <c r="AB30" s="4"/>
      <c r="AD30" s="4"/>
      <c r="AE30" s="4"/>
      <c r="AG30" s="4"/>
      <c r="AH30" s="4"/>
      <c r="AJ30" s="4"/>
      <c r="AK30" s="4"/>
      <c r="AM30" s="4"/>
      <c r="AN30" s="4"/>
    </row>
    <row r="31" spans="1:40" s="5" customFormat="1" ht="30" customHeight="1" thickBot="1" x14ac:dyDescent="0.35">
      <c r="B31" s="73" t="s">
        <v>32</v>
      </c>
      <c r="C31" s="74"/>
      <c r="D31" s="74"/>
      <c r="E31" s="74"/>
      <c r="F31" s="74"/>
      <c r="G31" s="75"/>
      <c r="I31" s="44" t="s">
        <v>53</v>
      </c>
      <c r="J31" s="45">
        <v>1</v>
      </c>
      <c r="M31" s="51"/>
      <c r="P31" s="1"/>
      <c r="V31" s="81" t="s">
        <v>26</v>
      </c>
      <c r="W31" s="82"/>
      <c r="X31" s="4"/>
      <c r="Y31" s="4"/>
      <c r="AA31" s="4"/>
      <c r="AB31" s="4"/>
      <c r="AD31" s="4"/>
      <c r="AE31" s="4"/>
      <c r="AG31" s="4"/>
      <c r="AH31" s="4"/>
      <c r="AJ31" s="4"/>
      <c r="AK31" s="4"/>
      <c r="AM31" s="4"/>
      <c r="AN31" s="4"/>
    </row>
    <row r="32" spans="1:40" s="5" customFormat="1" ht="30" customHeight="1" thickBot="1" x14ac:dyDescent="0.35">
      <c r="B32" s="76" t="s">
        <v>34</v>
      </c>
      <c r="C32" s="77"/>
      <c r="D32" s="78"/>
      <c r="E32" s="79">
        <v>1</v>
      </c>
      <c r="F32" s="79"/>
      <c r="G32" s="80"/>
      <c r="I32" s="27"/>
      <c r="J32" s="28"/>
      <c r="P32" s="1"/>
      <c r="Q32" s="4"/>
      <c r="V32" s="44" t="s">
        <v>54</v>
      </c>
      <c r="W32" s="45">
        <v>1</v>
      </c>
      <c r="X32" s="4"/>
      <c r="Y32" s="4"/>
      <c r="AA32" s="4"/>
      <c r="AB32" s="4"/>
      <c r="AD32" s="4"/>
      <c r="AE32" s="4"/>
      <c r="AG32" s="4"/>
      <c r="AH32" s="4"/>
      <c r="AJ32" s="4"/>
      <c r="AK32" s="4"/>
      <c r="AM32" s="4"/>
      <c r="AN32" s="4"/>
    </row>
    <row r="33" spans="1:40" s="5" customFormat="1" ht="30" customHeight="1" thickBot="1" x14ac:dyDescent="0.35">
      <c r="B33"/>
      <c r="C33" s="1"/>
      <c r="D33" s="1"/>
      <c r="E33" s="1"/>
      <c r="F33" s="1"/>
      <c r="G33" s="1"/>
      <c r="I33" s="81" t="s">
        <v>28</v>
      </c>
      <c r="J33" s="82"/>
      <c r="P33" s="1"/>
      <c r="Q33" s="4"/>
      <c r="V33" s="56" t="s">
        <v>22</v>
      </c>
      <c r="W33" s="28"/>
      <c r="X33" s="4"/>
      <c r="Y33" s="4"/>
      <c r="AA33" s="4"/>
      <c r="AB33" s="4"/>
      <c r="AD33" s="4"/>
      <c r="AE33" s="4"/>
      <c r="AG33" s="4"/>
      <c r="AH33" s="4"/>
      <c r="AJ33" s="4"/>
      <c r="AK33" s="4"/>
      <c r="AM33" s="4"/>
      <c r="AN33" s="4"/>
    </row>
    <row r="34" spans="1:40" s="5" customFormat="1" ht="30" customHeight="1" thickBot="1" x14ac:dyDescent="0.35">
      <c r="B34"/>
      <c r="C34" s="1"/>
      <c r="D34" s="1"/>
      <c r="E34" s="1"/>
      <c r="F34" s="1"/>
      <c r="G34" s="1"/>
      <c r="I34" s="44" t="s">
        <v>82</v>
      </c>
      <c r="J34" s="45">
        <v>1</v>
      </c>
      <c r="P34" s="1"/>
      <c r="Q34" s="1"/>
      <c r="V34" s="81" t="s">
        <v>11</v>
      </c>
      <c r="W34" s="82"/>
      <c r="X34" s="4"/>
      <c r="Y34" s="4"/>
      <c r="AA34" s="4"/>
      <c r="AB34" s="4"/>
      <c r="AD34" s="4"/>
      <c r="AE34" s="4"/>
      <c r="AG34" s="4"/>
      <c r="AH34" s="4"/>
      <c r="AJ34" s="4"/>
      <c r="AK34" s="4"/>
      <c r="AM34" s="4"/>
      <c r="AN34" s="4"/>
    </row>
    <row r="35" spans="1:40" s="5" customFormat="1" ht="30" customHeight="1" x14ac:dyDescent="0.3">
      <c r="B35"/>
      <c r="C35" s="1"/>
      <c r="D35" s="1"/>
      <c r="E35" s="1"/>
      <c r="F35" s="1"/>
      <c r="G35" s="1"/>
      <c r="I35" s="1"/>
      <c r="J35" s="1"/>
      <c r="P35" s="1"/>
      <c r="Q35" s="1"/>
      <c r="R35" s="4"/>
      <c r="S35" s="4"/>
      <c r="T35" s="4"/>
      <c r="V35" s="29" t="s">
        <v>41</v>
      </c>
      <c r="W35" s="30">
        <v>1</v>
      </c>
      <c r="X35" s="4"/>
      <c r="Y35" s="4"/>
      <c r="AA35" s="4"/>
      <c r="AB35" s="4"/>
      <c r="AD35" s="4"/>
      <c r="AE35" s="4"/>
      <c r="AG35" s="4"/>
      <c r="AH35" s="4"/>
      <c r="AJ35" s="4"/>
      <c r="AK35" s="4"/>
      <c r="AM35" s="4"/>
      <c r="AN35" s="4"/>
    </row>
    <row r="36" spans="1:40" s="5" customFormat="1" ht="30" customHeight="1" thickBot="1" x14ac:dyDescent="0.35">
      <c r="B36"/>
      <c r="C36" s="1"/>
      <c r="D36" s="1"/>
      <c r="E36" s="1"/>
      <c r="F36" s="1"/>
      <c r="G36" s="1"/>
      <c r="I36" s="1"/>
      <c r="J36" s="1"/>
      <c r="P36" s="1"/>
      <c r="Q36" s="1"/>
      <c r="R36" s="4"/>
      <c r="S36" s="4"/>
      <c r="T36" s="4"/>
      <c r="V36" s="31" t="s">
        <v>25</v>
      </c>
      <c r="W36" s="32">
        <v>1</v>
      </c>
      <c r="X36" s="4"/>
      <c r="Y36" s="4"/>
      <c r="AA36" s="4"/>
      <c r="AB36" s="4"/>
      <c r="AD36" s="4"/>
      <c r="AE36" s="4"/>
      <c r="AG36" s="4"/>
      <c r="AH36" s="4"/>
      <c r="AJ36" s="4"/>
      <c r="AK36" s="4"/>
      <c r="AM36" s="4"/>
      <c r="AN36" s="4"/>
    </row>
    <row r="37" spans="1:40" s="5" customFormat="1" ht="30" customHeight="1" thickBot="1" x14ac:dyDescent="0.35">
      <c r="B37"/>
      <c r="C37" s="1"/>
      <c r="D37" s="1"/>
      <c r="E37" s="1"/>
      <c r="F37" s="1"/>
      <c r="G37" s="1"/>
      <c r="H37" s="4"/>
      <c r="I37" s="1"/>
      <c r="J37" s="1"/>
      <c r="N37" s="4"/>
      <c r="O37" s="4"/>
      <c r="P37" s="1"/>
      <c r="Q37" s="1"/>
      <c r="R37" s="4"/>
      <c r="S37" s="4"/>
      <c r="T37" s="4"/>
      <c r="V37" s="27"/>
      <c r="W37" s="28"/>
      <c r="X37" s="4"/>
      <c r="Y37" s="4"/>
      <c r="AA37" s="4"/>
      <c r="AB37" s="4"/>
      <c r="AD37" s="4"/>
      <c r="AE37" s="4"/>
      <c r="AG37" s="4"/>
      <c r="AH37" s="4"/>
      <c r="AJ37" s="4"/>
      <c r="AK37" s="4"/>
      <c r="AM37" s="4"/>
      <c r="AN37" s="4"/>
    </row>
    <row r="38" spans="1:40" s="5" customFormat="1" ht="30" customHeight="1" thickBot="1" x14ac:dyDescent="0.35">
      <c r="A38"/>
      <c r="B38"/>
      <c r="C38" s="1"/>
      <c r="D38" s="1"/>
      <c r="E38" s="1"/>
      <c r="F38" s="1"/>
      <c r="G38" s="1"/>
      <c r="H38" s="4"/>
      <c r="I38" s="1"/>
      <c r="J38" s="1"/>
      <c r="N38" s="4"/>
      <c r="O38" s="4"/>
      <c r="P38" s="1"/>
      <c r="Q38" s="1"/>
      <c r="R38" s="1"/>
      <c r="S38" s="1"/>
      <c r="T38" s="1"/>
      <c r="V38" s="81" t="s">
        <v>18</v>
      </c>
      <c r="W38" s="82"/>
      <c r="X38" s="4"/>
      <c r="Y38" s="4"/>
      <c r="AA38" s="4"/>
      <c r="AB38" s="4"/>
      <c r="AD38" s="4"/>
      <c r="AE38" s="4"/>
      <c r="AG38" s="4"/>
      <c r="AH38" s="4"/>
      <c r="AJ38" s="4"/>
      <c r="AK38" s="4"/>
      <c r="AM38" s="4"/>
      <c r="AN38" s="4"/>
    </row>
    <row r="39" spans="1:40" s="5" customFormat="1" ht="30" customHeight="1" x14ac:dyDescent="0.3">
      <c r="A39"/>
      <c r="B39"/>
      <c r="C39" s="1"/>
      <c r="D39" s="1"/>
      <c r="E39" s="1"/>
      <c r="F39" s="1"/>
      <c r="G39" s="1"/>
      <c r="H39" s="4"/>
      <c r="I39" s="1"/>
      <c r="J39" s="1"/>
      <c r="K39" s="4"/>
      <c r="M39" s="4"/>
      <c r="N39" s="1"/>
      <c r="O39" s="1"/>
      <c r="P39" s="1"/>
      <c r="Q39" s="1"/>
      <c r="R39" s="1"/>
      <c r="S39" s="1"/>
      <c r="T39" s="1"/>
      <c r="U39" s="4"/>
      <c r="V39" s="29" t="s">
        <v>57</v>
      </c>
      <c r="W39" s="30">
        <v>1</v>
      </c>
      <c r="X39" s="4"/>
      <c r="Y39" s="4"/>
      <c r="AA39" s="4"/>
      <c r="AB39" s="4"/>
      <c r="AD39" s="4"/>
      <c r="AE39" s="4"/>
      <c r="AG39" s="4"/>
      <c r="AH39" s="4"/>
      <c r="AJ39" s="4"/>
      <c r="AK39" s="4"/>
      <c r="AM39" s="4"/>
      <c r="AN39" s="4"/>
    </row>
    <row r="40" spans="1:40" s="5" customFormat="1" ht="30" customHeight="1" thickBot="1" x14ac:dyDescent="0.35">
      <c r="A40"/>
      <c r="B40"/>
      <c r="C40" s="1"/>
      <c r="D40" s="1"/>
      <c r="E40" s="1"/>
      <c r="F40" s="1"/>
      <c r="G40" s="1"/>
      <c r="H40" s="4"/>
      <c r="I40" s="1"/>
      <c r="J40" s="1"/>
      <c r="K40" s="1"/>
      <c r="L40" s="1"/>
      <c r="M40" s="1"/>
      <c r="N40" s="1"/>
      <c r="O40" s="4"/>
      <c r="R40" s="4"/>
      <c r="S40" s="4"/>
      <c r="U40" s="4"/>
      <c r="V40" s="31" t="s">
        <v>59</v>
      </c>
      <c r="W40" s="32">
        <v>1</v>
      </c>
      <c r="X40" s="4"/>
      <c r="Y40" s="4"/>
      <c r="AA40" s="4"/>
      <c r="AB40" s="4"/>
      <c r="AD40" s="4"/>
      <c r="AE40" s="4"/>
      <c r="AG40" s="4"/>
      <c r="AH40" s="4"/>
    </row>
    <row r="41" spans="1:40" s="5" customFormat="1" ht="30" customHeight="1" thickBot="1" x14ac:dyDescent="0.35">
      <c r="A41"/>
      <c r="B41"/>
      <c r="C41" s="1"/>
      <c r="D41" s="1"/>
      <c r="E41" s="1"/>
      <c r="F41" s="1"/>
      <c r="G41" s="1"/>
      <c r="H41" s="4"/>
      <c r="I41" s="1"/>
      <c r="J41" s="1"/>
      <c r="K41" s="4"/>
      <c r="M41" s="1"/>
      <c r="N41" s="1"/>
      <c r="O41" s="1"/>
      <c r="P41" s="1"/>
      <c r="Q41" s="1"/>
      <c r="R41" s="1"/>
      <c r="S41" s="1"/>
      <c r="T41" s="1"/>
      <c r="U41" s="4"/>
      <c r="V41" s="31" t="s">
        <v>58</v>
      </c>
      <c r="W41" s="32">
        <v>1</v>
      </c>
      <c r="X41" s="4"/>
      <c r="Y41" s="4"/>
      <c r="AA41" s="4"/>
      <c r="AB41" s="4"/>
      <c r="AD41" s="4"/>
      <c r="AE41" s="4"/>
      <c r="AG41" s="4"/>
      <c r="AH41" s="4"/>
      <c r="AJ41" s="4"/>
      <c r="AK41" s="4"/>
      <c r="AM41" s="4"/>
      <c r="AN41" s="4"/>
    </row>
    <row r="42" spans="1:40" ht="30" customHeight="1" thickBot="1" x14ac:dyDescent="0.35">
      <c r="L42" s="6"/>
      <c r="V42" s="27"/>
      <c r="W42" s="28"/>
    </row>
    <row r="43" spans="1:40" ht="30" customHeight="1" thickBot="1" x14ac:dyDescent="0.35">
      <c r="L43" s="4"/>
      <c r="V43" s="81" t="s">
        <v>24</v>
      </c>
      <c r="W43" s="82"/>
    </row>
    <row r="44" spans="1:40" ht="30" customHeight="1" x14ac:dyDescent="0.3">
      <c r="R44"/>
      <c r="U44"/>
      <c r="V44" s="29" t="s">
        <v>80</v>
      </c>
      <c r="W44" s="30">
        <v>1</v>
      </c>
      <c r="X44"/>
      <c r="Z44" s="1"/>
      <c r="AA44"/>
      <c r="AB44"/>
      <c r="AD44"/>
      <c r="AE44"/>
      <c r="AG44"/>
      <c r="AH44"/>
    </row>
    <row r="45" spans="1:40" ht="30" customHeight="1" thickBot="1" x14ac:dyDescent="0.35">
      <c r="V45" s="31" t="s">
        <v>81</v>
      </c>
      <c r="W45" s="32">
        <v>1</v>
      </c>
    </row>
    <row r="46" spans="1:40" ht="30" customHeight="1" thickBot="1" x14ac:dyDescent="0.35">
      <c r="V46" s="27"/>
      <c r="W46" s="28"/>
    </row>
    <row r="47" spans="1:40" ht="30" customHeight="1" thickBot="1" x14ac:dyDescent="0.35">
      <c r="V47" s="81" t="s">
        <v>28</v>
      </c>
      <c r="W47" s="82"/>
    </row>
    <row r="48" spans="1:40" ht="30" customHeight="1" x14ac:dyDescent="0.3">
      <c r="V48" s="29" t="s">
        <v>52</v>
      </c>
      <c r="W48" s="30">
        <v>1</v>
      </c>
    </row>
    <row r="49" spans="13:34" ht="30" customHeight="1" x14ac:dyDescent="0.3">
      <c r="V49" s="34" t="s">
        <v>29</v>
      </c>
      <c r="W49" s="35">
        <v>1</v>
      </c>
    </row>
    <row r="50" spans="13:34" ht="30" customHeight="1" x14ac:dyDescent="0.3">
      <c r="V50" s="34" t="s">
        <v>30</v>
      </c>
      <c r="W50" s="35">
        <v>1</v>
      </c>
    </row>
    <row r="51" spans="13:34" ht="30" customHeight="1" x14ac:dyDescent="0.3">
      <c r="T51"/>
      <c r="V51" s="34" t="s">
        <v>31</v>
      </c>
      <c r="W51" s="35">
        <v>1</v>
      </c>
      <c r="AD51"/>
      <c r="AE51"/>
      <c r="AG51"/>
      <c r="AH51"/>
    </row>
    <row r="52" spans="13:34" ht="30" customHeight="1" thickBot="1" x14ac:dyDescent="0.35">
      <c r="M52" s="2"/>
      <c r="N52" s="7"/>
      <c r="V52" s="31" t="s">
        <v>33</v>
      </c>
      <c r="W52" s="32">
        <v>1</v>
      </c>
    </row>
    <row r="53" spans="13:34" ht="30" customHeight="1" x14ac:dyDescent="0.3">
      <c r="V53" s="4"/>
      <c r="W53" s="5"/>
    </row>
    <row r="54" spans="13:34" x14ac:dyDescent="0.3">
      <c r="V54" s="5"/>
      <c r="W54" s="5"/>
    </row>
    <row r="55" spans="13:34" x14ac:dyDescent="0.3">
      <c r="V55" s="5"/>
      <c r="W55" s="5"/>
    </row>
    <row r="64" spans="13:34" x14ac:dyDescent="0.3">
      <c r="W64"/>
    </row>
  </sheetData>
  <mergeCells count="59">
    <mergeCell ref="V21:W21"/>
    <mergeCell ref="M28:P28"/>
    <mergeCell ref="M29:O29"/>
    <mergeCell ref="B25:G25"/>
    <mergeCell ref="B26:D26"/>
    <mergeCell ref="E26:G26"/>
    <mergeCell ref="B22:G22"/>
    <mergeCell ref="B23:D23"/>
    <mergeCell ref="V24:W24"/>
    <mergeCell ref="I33:J33"/>
    <mergeCell ref="B28:G28"/>
    <mergeCell ref="I25:J25"/>
    <mergeCell ref="E23:G23"/>
    <mergeCell ref="B29:D29"/>
    <mergeCell ref="E29:G29"/>
    <mergeCell ref="I28:J28"/>
    <mergeCell ref="I21:J21"/>
    <mergeCell ref="B19:D19"/>
    <mergeCell ref="E19:G19"/>
    <mergeCell ref="B13:G13"/>
    <mergeCell ref="E14:G14"/>
    <mergeCell ref="E16:G16"/>
    <mergeCell ref="B18:G18"/>
    <mergeCell ref="L21:M21"/>
    <mergeCell ref="B20:D20"/>
    <mergeCell ref="B16:D16"/>
    <mergeCell ref="I17:J17"/>
    <mergeCell ref="V11:W11"/>
    <mergeCell ref="S13:T13"/>
    <mergeCell ref="L2:Q2"/>
    <mergeCell ref="B15:D15"/>
    <mergeCell ref="E15:G15"/>
    <mergeCell ref="T8:V8"/>
    <mergeCell ref="P8:Q8"/>
    <mergeCell ref="V13:W13"/>
    <mergeCell ref="M5:T5"/>
    <mergeCell ref="S11:T11"/>
    <mergeCell ref="L8:M8"/>
    <mergeCell ref="L13:M13"/>
    <mergeCell ref="B5:G5"/>
    <mergeCell ref="I8:J8"/>
    <mergeCell ref="I13:J13"/>
    <mergeCell ref="B14:D14"/>
    <mergeCell ref="B31:G31"/>
    <mergeCell ref="B32:D32"/>
    <mergeCell ref="E32:G32"/>
    <mergeCell ref="V47:W47"/>
    <mergeCell ref="P13:Q13"/>
    <mergeCell ref="V34:W34"/>
    <mergeCell ref="V38:W38"/>
    <mergeCell ref="V43:W43"/>
    <mergeCell ref="V18:W18"/>
    <mergeCell ref="P17:Q17"/>
    <mergeCell ref="V27:W27"/>
    <mergeCell ref="V31:W31"/>
    <mergeCell ref="M25:P25"/>
    <mergeCell ref="L17:M17"/>
    <mergeCell ref="M26:O26"/>
    <mergeCell ref="E20:G20"/>
  </mergeCells>
  <phoneticPr fontId="1" type="noConversion"/>
  <printOptions horizontalCentered="1"/>
  <pageMargins left="0.1" right="0.1" top="0.75" bottom="0.25" header="0.3" footer="0.3"/>
  <pageSetup paperSize="9" scale="18" orientation="landscape" horizontalDpi="300" verticalDpi="300" r:id="rId1"/>
  <headerFooter>
    <oddHeader>&amp;L&amp;"-,Bold"&amp;28ENCOGROUP&amp;C&amp;"-,Bold"&amp;48SOHAR EQUIPMENT ORGANIZATION CHART&amp;R&amp;"-,Bold"&amp;28 14-Apr-2026
Rev.05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9996-397C-4D07-8F58-7516459DC2A0}">
  <sheetPr>
    <pageSetUpPr fitToPage="1"/>
  </sheetPr>
  <dimension ref="B1:L65"/>
  <sheetViews>
    <sheetView view="pageLayout" topLeftCell="A2" zoomScale="80" zoomScaleNormal="100" zoomScalePageLayoutView="80" workbookViewId="0">
      <selection activeCell="A13" sqref="A13:XFD13"/>
    </sheetView>
  </sheetViews>
  <sheetFormatPr defaultRowHeight="14.4" x14ac:dyDescent="0.3"/>
  <cols>
    <col min="1" max="1" width="4" customWidth="1"/>
    <col min="2" max="2" width="8.88671875" style="4"/>
    <col min="3" max="3" width="43.5546875" style="4" customWidth="1"/>
    <col min="4" max="4" width="20.77734375" style="4" customWidth="1"/>
    <col min="5" max="7" width="15.77734375" style="4" customWidth="1"/>
    <col min="8" max="12" width="15.77734375" customWidth="1"/>
  </cols>
  <sheetData>
    <row r="1" spans="2:12" ht="13.8" customHeight="1" x14ac:dyDescent="0.3"/>
    <row r="2" spans="2:12" ht="14.4" customHeight="1" x14ac:dyDescent="0.3">
      <c r="B2" s="71" t="s">
        <v>35</v>
      </c>
      <c r="C2" s="71" t="str">
        <f>Org!B5</f>
        <v>ENCO - INDUSTRIAL AREA</v>
      </c>
      <c r="D2" s="64" t="s">
        <v>36</v>
      </c>
      <c r="E2" s="68" t="s">
        <v>51</v>
      </c>
      <c r="F2" s="69"/>
      <c r="G2" s="69"/>
      <c r="H2" s="70"/>
      <c r="I2" s="64" t="s">
        <v>49</v>
      </c>
      <c r="J2" s="64"/>
      <c r="K2" s="64"/>
      <c r="L2" s="64"/>
    </row>
    <row r="3" spans="2:12" ht="14.4" customHeight="1" x14ac:dyDescent="0.3">
      <c r="B3" s="72"/>
      <c r="C3" s="72"/>
      <c r="D3" s="64"/>
      <c r="E3" s="59" t="s">
        <v>43</v>
      </c>
      <c r="F3" s="59" t="s">
        <v>44</v>
      </c>
      <c r="G3" s="59" t="s">
        <v>45</v>
      </c>
      <c r="H3" s="59" t="s">
        <v>46</v>
      </c>
      <c r="I3" s="59" t="s">
        <v>43</v>
      </c>
      <c r="J3" s="59" t="s">
        <v>44</v>
      </c>
      <c r="K3" s="59" t="s">
        <v>45</v>
      </c>
      <c r="L3" s="59" t="s">
        <v>46</v>
      </c>
    </row>
    <row r="4" spans="2:12" ht="14.4" customHeight="1" x14ac:dyDescent="0.3">
      <c r="B4" s="59">
        <v>1</v>
      </c>
      <c r="C4" s="60" t="str">
        <f>Org!B14</f>
        <v>40T TADANO CRAWLER CRANE</v>
      </c>
      <c r="D4" s="60">
        <f>Org!E14</f>
        <v>1</v>
      </c>
      <c r="E4" s="65" t="s">
        <v>50</v>
      </c>
      <c r="F4" s="66"/>
      <c r="G4" s="66"/>
      <c r="H4" s="67"/>
      <c r="I4" s="60" t="s">
        <v>47</v>
      </c>
      <c r="J4" s="60" t="s">
        <v>47</v>
      </c>
      <c r="K4" s="60" t="s">
        <v>47</v>
      </c>
      <c r="L4" s="60" t="s">
        <v>47</v>
      </c>
    </row>
    <row r="5" spans="2:12" ht="14.4" customHeight="1" x14ac:dyDescent="0.3">
      <c r="B5" s="59">
        <v>2</v>
      </c>
      <c r="C5" s="60" t="str">
        <f>Org!B15</f>
        <v>80T GROVE TELESCOPIC CRANE</v>
      </c>
      <c r="D5" s="60">
        <f>Org!E15</f>
        <v>1</v>
      </c>
      <c r="E5" s="65" t="s">
        <v>50</v>
      </c>
      <c r="F5" s="66"/>
      <c r="G5" s="66"/>
      <c r="H5" s="67"/>
      <c r="I5" s="61">
        <v>0</v>
      </c>
      <c r="J5" s="61">
        <v>0</v>
      </c>
      <c r="K5" s="61">
        <v>4880</v>
      </c>
      <c r="L5" s="61">
        <v>12200</v>
      </c>
    </row>
    <row r="6" spans="2:12" ht="14.4" customHeight="1" x14ac:dyDescent="0.3">
      <c r="B6" s="59">
        <v>3</v>
      </c>
      <c r="C6" s="60" t="str">
        <f>Org!B16</f>
        <v>100T SANY TELESCOPIC CRANE</v>
      </c>
      <c r="D6" s="60">
        <f>Org!E16</f>
        <v>1</v>
      </c>
      <c r="E6" s="65" t="s">
        <v>50</v>
      </c>
      <c r="F6" s="66"/>
      <c r="G6" s="66"/>
      <c r="H6" s="67"/>
      <c r="I6" s="61">
        <v>0</v>
      </c>
      <c r="J6" s="61">
        <v>0</v>
      </c>
      <c r="K6" s="61">
        <v>4880</v>
      </c>
      <c r="L6" s="61">
        <v>12200</v>
      </c>
    </row>
    <row r="7" spans="2:12" ht="14.4" customHeight="1" x14ac:dyDescent="0.3">
      <c r="B7" s="59">
        <v>4</v>
      </c>
      <c r="C7" s="60" t="str">
        <f>Org!B19</f>
        <v>14M HAULOTE MANLIFT</v>
      </c>
      <c r="D7" s="60">
        <f>Org!E19</f>
        <v>1</v>
      </c>
      <c r="E7" s="65" t="s">
        <v>50</v>
      </c>
      <c r="F7" s="66"/>
      <c r="G7" s="66"/>
      <c r="H7" s="67"/>
      <c r="I7" s="61">
        <v>11</v>
      </c>
      <c r="J7" s="61">
        <v>95</v>
      </c>
      <c r="K7" s="61">
        <v>518</v>
      </c>
      <c r="L7" s="61">
        <v>1550</v>
      </c>
    </row>
    <row r="8" spans="2:12" ht="14.4" customHeight="1" x14ac:dyDescent="0.3">
      <c r="B8" s="59">
        <v>5</v>
      </c>
      <c r="C8" s="60" t="str">
        <f>Org!B20</f>
        <v>41M JLG MANLIFT</v>
      </c>
      <c r="D8" s="60">
        <f>Org!E20</f>
        <v>1</v>
      </c>
      <c r="E8" s="65" t="s">
        <v>50</v>
      </c>
      <c r="F8" s="66"/>
      <c r="G8" s="66"/>
      <c r="H8" s="67"/>
      <c r="I8" s="61">
        <v>21</v>
      </c>
      <c r="J8" s="61">
        <v>182</v>
      </c>
      <c r="K8" s="61">
        <v>1000</v>
      </c>
      <c r="L8" s="61">
        <v>3000</v>
      </c>
    </row>
    <row r="9" spans="2:12" ht="14.4" customHeight="1" x14ac:dyDescent="0.3">
      <c r="B9" s="59">
        <v>6</v>
      </c>
      <c r="C9" s="60" t="str">
        <f>Org!B23</f>
        <v>7T HYSTER FORKLIFT</v>
      </c>
      <c r="D9" s="60">
        <f>Org!E23</f>
        <v>1</v>
      </c>
      <c r="E9" s="65" t="s">
        <v>50</v>
      </c>
      <c r="F9" s="66"/>
      <c r="G9" s="66"/>
      <c r="H9" s="67"/>
      <c r="I9" s="61">
        <v>15</v>
      </c>
      <c r="J9" s="61">
        <v>135</v>
      </c>
      <c r="K9" s="61">
        <v>735</v>
      </c>
      <c r="L9" s="61">
        <v>2200</v>
      </c>
    </row>
    <row r="10" spans="2:12" ht="14.4" customHeight="1" x14ac:dyDescent="0.3">
      <c r="B10" s="59">
        <v>7</v>
      </c>
      <c r="C10" s="60" t="str">
        <f>Org!B26</f>
        <v xml:space="preserve">22 SEAT BUS 2746MB (DAMAGED) </v>
      </c>
      <c r="D10" s="60">
        <f>Org!E26</f>
        <v>1</v>
      </c>
      <c r="E10" s="65" t="s">
        <v>50</v>
      </c>
      <c r="F10" s="66"/>
      <c r="G10" s="66"/>
      <c r="H10" s="67"/>
      <c r="I10" s="60" t="s">
        <v>47</v>
      </c>
      <c r="J10" s="60" t="s">
        <v>47</v>
      </c>
      <c r="K10" s="60" t="s">
        <v>47</v>
      </c>
      <c r="L10" s="60" t="s">
        <v>47</v>
      </c>
    </row>
    <row r="11" spans="2:12" ht="14.4" customHeight="1" x14ac:dyDescent="0.3">
      <c r="B11" s="59">
        <v>8</v>
      </c>
      <c r="C11" s="60" t="str">
        <f>Org!B29</f>
        <v>FLATBED TRAILER</v>
      </c>
      <c r="D11" s="60">
        <f>Org!E29</f>
        <v>1</v>
      </c>
      <c r="E11" s="65" t="s">
        <v>50</v>
      </c>
      <c r="F11" s="66"/>
      <c r="G11" s="66"/>
      <c r="H11" s="67"/>
      <c r="I11" s="61">
        <v>20</v>
      </c>
      <c r="J11" s="61">
        <v>175</v>
      </c>
      <c r="K11" s="61">
        <v>940</v>
      </c>
      <c r="L11" s="61">
        <v>2800</v>
      </c>
    </row>
    <row r="12" spans="2:12" ht="14.4" customHeight="1" x14ac:dyDescent="0.3">
      <c r="B12" s="59">
        <v>9</v>
      </c>
      <c r="C12" s="60" t="str">
        <f>Org!B32</f>
        <v>KAESER COMPRESSOR</v>
      </c>
      <c r="D12" s="60">
        <f>Org!E32</f>
        <v>1</v>
      </c>
      <c r="E12" s="65" t="s">
        <v>50</v>
      </c>
      <c r="F12" s="66"/>
      <c r="G12" s="66"/>
      <c r="H12" s="67"/>
      <c r="I12" s="60" t="s">
        <v>47</v>
      </c>
      <c r="J12" s="60" t="s">
        <v>47</v>
      </c>
      <c r="K12" s="60" t="s">
        <v>47</v>
      </c>
      <c r="L12" s="60" t="s">
        <v>47</v>
      </c>
    </row>
    <row r="13" spans="2:12" ht="14.4" customHeight="1" x14ac:dyDescent="0.3"/>
    <row r="14" spans="2:12" ht="14.4" customHeight="1" x14ac:dyDescent="0.3">
      <c r="B14" s="64" t="s">
        <v>35</v>
      </c>
      <c r="C14" s="64" t="str">
        <f>Org!I8</f>
        <v>CONTRACTOR PARKING AREA</v>
      </c>
      <c r="D14" s="64" t="s">
        <v>36</v>
      </c>
      <c r="E14" s="68" t="s">
        <v>51</v>
      </c>
      <c r="F14" s="69"/>
      <c r="G14" s="69"/>
      <c r="H14" s="70"/>
      <c r="I14" s="64" t="s">
        <v>49</v>
      </c>
      <c r="J14" s="64"/>
      <c r="K14" s="64"/>
      <c r="L14" s="64"/>
    </row>
    <row r="15" spans="2:12" ht="14.4" customHeight="1" x14ac:dyDescent="0.3">
      <c r="B15" s="64"/>
      <c r="C15" s="64"/>
      <c r="D15" s="64"/>
      <c r="E15" s="59" t="s">
        <v>43</v>
      </c>
      <c r="F15" s="59" t="s">
        <v>44</v>
      </c>
      <c r="G15" s="59" t="s">
        <v>45</v>
      </c>
      <c r="H15" s="59" t="s">
        <v>46</v>
      </c>
      <c r="I15" s="59" t="s">
        <v>43</v>
      </c>
      <c r="J15" s="59" t="s">
        <v>44</v>
      </c>
      <c r="K15" s="59" t="s">
        <v>45</v>
      </c>
      <c r="L15" s="59" t="s">
        <v>46</v>
      </c>
    </row>
    <row r="16" spans="2:12" ht="14.4" customHeight="1" x14ac:dyDescent="0.3">
      <c r="B16" s="59">
        <v>1</v>
      </c>
      <c r="C16" s="60" t="str">
        <f>Org!I14</f>
        <v xml:space="preserve">70T TELESCOPIC CRANE 6427MH (RENTAL) </v>
      </c>
      <c r="D16" s="60">
        <f>Org!J14</f>
        <v>1</v>
      </c>
      <c r="E16" s="61">
        <v>0</v>
      </c>
      <c r="F16" s="61">
        <v>0</v>
      </c>
      <c r="G16" s="61">
        <v>0</v>
      </c>
      <c r="H16" s="62">
        <v>2400</v>
      </c>
      <c r="I16" s="61">
        <v>0</v>
      </c>
      <c r="J16" s="61">
        <v>454</v>
      </c>
      <c r="K16" s="61">
        <v>2500</v>
      </c>
      <c r="L16" s="61">
        <v>7500</v>
      </c>
    </row>
    <row r="17" spans="2:12" ht="14.4" customHeight="1" x14ac:dyDescent="0.3">
      <c r="B17" s="59">
        <v>2</v>
      </c>
      <c r="C17" s="60" t="str">
        <f>Org!I15</f>
        <v>130T CRAWLER CRANE  2854BA (RENTAL)</v>
      </c>
      <c r="D17" s="60">
        <f>Org!J15</f>
        <v>1</v>
      </c>
      <c r="E17" s="61">
        <v>0</v>
      </c>
      <c r="F17" s="61">
        <v>0</v>
      </c>
      <c r="G17" s="61">
        <v>0</v>
      </c>
      <c r="H17" s="63">
        <v>6800</v>
      </c>
      <c r="I17" s="61">
        <v>0</v>
      </c>
      <c r="J17" s="61">
        <v>0</v>
      </c>
      <c r="K17" s="61">
        <v>6730</v>
      </c>
      <c r="L17" s="61">
        <v>16380</v>
      </c>
    </row>
    <row r="18" spans="2:12" x14ac:dyDescent="0.3">
      <c r="B18" s="59">
        <v>3</v>
      </c>
      <c r="C18" s="60" t="str">
        <f>Org!I19</f>
        <v>22M HAULOTTE MANLIFT 2164847</v>
      </c>
      <c r="D18" s="60">
        <f>Org!J19</f>
        <v>1</v>
      </c>
      <c r="E18" s="65" t="s">
        <v>50</v>
      </c>
      <c r="F18" s="66"/>
      <c r="G18" s="66"/>
      <c r="H18" s="67"/>
      <c r="I18" s="61">
        <v>15</v>
      </c>
      <c r="J18" s="61">
        <v>135</v>
      </c>
      <c r="K18" s="61">
        <v>740</v>
      </c>
      <c r="L18" s="61">
        <v>2200</v>
      </c>
    </row>
    <row r="19" spans="2:12" x14ac:dyDescent="0.3">
      <c r="B19" s="59">
        <v>4</v>
      </c>
      <c r="C19" s="60" t="str">
        <f>Org!I23</f>
        <v xml:space="preserve">TOWER LIGHT  2702250313 (ENCO) </v>
      </c>
      <c r="D19" s="60">
        <f>Org!J23</f>
        <v>1</v>
      </c>
      <c r="E19" s="65" t="s">
        <v>50</v>
      </c>
      <c r="F19" s="66"/>
      <c r="G19" s="66"/>
      <c r="H19" s="67"/>
      <c r="I19" s="61">
        <v>8.6</v>
      </c>
      <c r="J19" s="61">
        <v>34</v>
      </c>
      <c r="K19" s="61">
        <v>185</v>
      </c>
      <c r="L19" s="61">
        <v>550</v>
      </c>
    </row>
    <row r="20" spans="2:12" x14ac:dyDescent="0.3">
      <c r="B20" s="59">
        <v>5</v>
      </c>
      <c r="C20" s="60" t="str">
        <f>Org!I22</f>
        <v>7.2KW TOWER LIGHT 2702250311 (ENCO)</v>
      </c>
      <c r="D20" s="60">
        <f>Org!J22</f>
        <v>1</v>
      </c>
      <c r="E20" s="65" t="s">
        <v>50</v>
      </c>
      <c r="F20" s="66"/>
      <c r="G20" s="66"/>
      <c r="H20" s="67"/>
      <c r="I20" s="61">
        <v>8.6</v>
      </c>
      <c r="J20" s="61">
        <v>34</v>
      </c>
      <c r="K20" s="61">
        <v>185</v>
      </c>
      <c r="L20" s="61">
        <v>550</v>
      </c>
    </row>
    <row r="21" spans="2:12" x14ac:dyDescent="0.3">
      <c r="B21" s="59">
        <v>6</v>
      </c>
      <c r="C21" s="60" t="str">
        <f>Org!I26</f>
        <v xml:space="preserve">PICK-UP 4265BM (RENTAL) </v>
      </c>
      <c r="D21" s="60">
        <f>Org!J26</f>
        <v>1</v>
      </c>
      <c r="E21" s="61">
        <v>0</v>
      </c>
      <c r="F21" s="61">
        <v>0</v>
      </c>
      <c r="G21" s="61">
        <v>0</v>
      </c>
      <c r="H21" s="61">
        <v>300</v>
      </c>
      <c r="I21" s="61">
        <v>0</v>
      </c>
      <c r="J21" s="61">
        <v>60</v>
      </c>
      <c r="K21" s="61">
        <v>480</v>
      </c>
      <c r="L21" s="61">
        <v>1200</v>
      </c>
    </row>
    <row r="22" spans="2:12" x14ac:dyDescent="0.3">
      <c r="B22" s="59">
        <v>7</v>
      </c>
      <c r="C22" s="60" t="str">
        <f>Org!I29</f>
        <v>12M SCISSOR LIFT 20251128-01</v>
      </c>
      <c r="D22" s="60">
        <f>Org!J29</f>
        <v>1</v>
      </c>
      <c r="E22" s="65" t="s">
        <v>50</v>
      </c>
      <c r="F22" s="66"/>
      <c r="G22" s="66"/>
      <c r="H22" s="67"/>
      <c r="I22" s="61">
        <v>10</v>
      </c>
      <c r="J22" s="61">
        <v>85</v>
      </c>
      <c r="K22" s="61">
        <v>470</v>
      </c>
      <c r="L22" s="61">
        <v>1400</v>
      </c>
    </row>
    <row r="23" spans="2:12" x14ac:dyDescent="0.3">
      <c r="B23" s="59">
        <v>8</v>
      </c>
      <c r="C23" s="60" t="str">
        <f>Org!I30</f>
        <v>12M SCISSOR LIFT 20251128-02</v>
      </c>
      <c r="D23" s="60">
        <f>Org!J30</f>
        <v>1</v>
      </c>
      <c r="E23" s="65" t="s">
        <v>50</v>
      </c>
      <c r="F23" s="66"/>
      <c r="G23" s="66"/>
      <c r="H23" s="67"/>
      <c r="I23" s="61">
        <v>10</v>
      </c>
      <c r="J23" s="61">
        <v>85</v>
      </c>
      <c r="K23" s="61">
        <v>470</v>
      </c>
      <c r="L23" s="61">
        <v>1400</v>
      </c>
    </row>
    <row r="24" spans="2:12" x14ac:dyDescent="0.3">
      <c r="B24" s="59">
        <v>9</v>
      </c>
      <c r="C24" s="60" t="str">
        <f>Org!I31</f>
        <v>12M SCISSOR LIFT 20251128-03</v>
      </c>
      <c r="D24" s="60">
        <f>Org!J31</f>
        <v>1</v>
      </c>
      <c r="E24" s="65" t="s">
        <v>50</v>
      </c>
      <c r="F24" s="66"/>
      <c r="G24" s="66"/>
      <c r="H24" s="67"/>
      <c r="I24" s="61">
        <v>10</v>
      </c>
      <c r="J24" s="61">
        <v>85</v>
      </c>
      <c r="K24" s="61">
        <v>470</v>
      </c>
      <c r="L24" s="61">
        <v>1400</v>
      </c>
    </row>
    <row r="25" spans="2:12" x14ac:dyDescent="0.3">
      <c r="B25" s="59">
        <v>10</v>
      </c>
      <c r="C25" s="60" t="str">
        <f>Org!I34</f>
        <v>55 SEAT BUS  (RENTAL)</v>
      </c>
      <c r="D25" s="60">
        <f>Org!J34</f>
        <v>1</v>
      </c>
      <c r="E25" s="61">
        <v>0</v>
      </c>
      <c r="F25" s="61">
        <v>0</v>
      </c>
      <c r="G25" s="61">
        <v>0</v>
      </c>
      <c r="H25" s="61">
        <v>600</v>
      </c>
      <c r="I25" s="60" t="s">
        <v>47</v>
      </c>
      <c r="J25" s="60" t="s">
        <v>47</v>
      </c>
      <c r="K25" s="60" t="s">
        <v>47</v>
      </c>
      <c r="L25" s="60" t="s">
        <v>47</v>
      </c>
    </row>
    <row r="27" spans="2:12" x14ac:dyDescent="0.3">
      <c r="B27" s="64" t="s">
        <v>35</v>
      </c>
      <c r="C27" s="71" t="str">
        <f>Org!L8</f>
        <v>YARD 2</v>
      </c>
      <c r="D27" s="64" t="s">
        <v>36</v>
      </c>
      <c r="E27" s="68" t="s">
        <v>51</v>
      </c>
      <c r="F27" s="69"/>
      <c r="G27" s="69"/>
      <c r="H27" s="70"/>
      <c r="I27" s="64" t="s">
        <v>49</v>
      </c>
      <c r="J27" s="64"/>
      <c r="K27" s="64"/>
      <c r="L27" s="64"/>
    </row>
    <row r="28" spans="2:12" x14ac:dyDescent="0.3">
      <c r="B28" s="64"/>
      <c r="C28" s="72"/>
      <c r="D28" s="64"/>
      <c r="E28" s="59" t="s">
        <v>43</v>
      </c>
      <c r="F28" s="59" t="s">
        <v>44</v>
      </c>
      <c r="G28" s="59" t="s">
        <v>45</v>
      </c>
      <c r="H28" s="59" t="s">
        <v>46</v>
      </c>
      <c r="I28" s="59" t="s">
        <v>43</v>
      </c>
      <c r="J28" s="59" t="s">
        <v>44</v>
      </c>
      <c r="K28" s="59" t="s">
        <v>45</v>
      </c>
      <c r="L28" s="59" t="s">
        <v>46</v>
      </c>
    </row>
    <row r="29" spans="2:12" x14ac:dyDescent="0.3">
      <c r="B29" s="59">
        <v>1</v>
      </c>
      <c r="C29" s="60" t="str">
        <f>Org!L14</f>
        <v>100T TELESCOPIC CRANE  3988DS (RENTAL)</v>
      </c>
      <c r="D29" s="60">
        <f>Org!M14</f>
        <v>1</v>
      </c>
      <c r="E29" s="61">
        <v>0</v>
      </c>
      <c r="F29" s="61">
        <v>0</v>
      </c>
      <c r="G29" s="61">
        <v>0</v>
      </c>
      <c r="H29" s="63">
        <v>5000</v>
      </c>
      <c r="I29" s="61">
        <v>0</v>
      </c>
      <c r="J29" s="61">
        <v>0</v>
      </c>
      <c r="K29" s="61">
        <v>4880</v>
      </c>
      <c r="L29" s="61">
        <v>12200</v>
      </c>
    </row>
    <row r="30" spans="2:12" x14ac:dyDescent="0.3">
      <c r="B30" s="59">
        <v>2</v>
      </c>
      <c r="C30" s="60" t="str">
        <f>Org!L15</f>
        <v xml:space="preserve">150T CRAWLER CRANE 3285LH (RENTAL) </v>
      </c>
      <c r="D30" s="60">
        <f>Org!M15</f>
        <v>1</v>
      </c>
      <c r="E30" s="61">
        <v>0</v>
      </c>
      <c r="F30" s="61">
        <v>0</v>
      </c>
      <c r="G30" s="61">
        <v>0</v>
      </c>
      <c r="H30" s="63">
        <v>7000</v>
      </c>
      <c r="I30" s="61">
        <v>0</v>
      </c>
      <c r="J30" s="61">
        <v>0</v>
      </c>
      <c r="K30" s="61">
        <v>7480</v>
      </c>
      <c r="L30" s="61">
        <v>18700</v>
      </c>
    </row>
    <row r="31" spans="2:12" x14ac:dyDescent="0.3">
      <c r="B31" s="59">
        <v>3</v>
      </c>
      <c r="C31" s="60" t="str">
        <f>Org!L18</f>
        <v>22M LCMG MANLIFT LWJAB202KS3720001</v>
      </c>
      <c r="D31" s="60">
        <f>Org!M18</f>
        <v>1</v>
      </c>
      <c r="E31" s="65" t="s">
        <v>50</v>
      </c>
      <c r="F31" s="66"/>
      <c r="G31" s="66"/>
      <c r="H31" s="67"/>
      <c r="I31" s="61">
        <v>15</v>
      </c>
      <c r="J31" s="61">
        <v>135</v>
      </c>
      <c r="K31" s="61">
        <v>740</v>
      </c>
      <c r="L31" s="61">
        <v>2200</v>
      </c>
    </row>
    <row r="32" spans="2:12" x14ac:dyDescent="0.3">
      <c r="B32" s="59">
        <v>4</v>
      </c>
      <c r="C32" s="60" t="str">
        <f>Org!L19</f>
        <v>28M LCMG MANLIFT LWJAB262ES3739913</v>
      </c>
      <c r="D32" s="60">
        <f>Org!M19</f>
        <v>1</v>
      </c>
      <c r="E32" s="65" t="s">
        <v>50</v>
      </c>
      <c r="F32" s="66"/>
      <c r="G32" s="66"/>
      <c r="H32" s="67"/>
      <c r="I32" s="61">
        <v>15</v>
      </c>
      <c r="J32" s="61">
        <v>135</v>
      </c>
      <c r="K32" s="61">
        <v>740</v>
      </c>
      <c r="L32" s="61">
        <v>2200</v>
      </c>
    </row>
    <row r="33" spans="2:12" x14ac:dyDescent="0.3">
      <c r="B33" s="59">
        <v>5</v>
      </c>
      <c r="C33" s="60" t="str">
        <f>Org!L22</f>
        <v>22KVA GENERATOR</v>
      </c>
      <c r="D33" s="60">
        <f>Org!M22</f>
        <v>1</v>
      </c>
      <c r="E33" s="65" t="s">
        <v>50</v>
      </c>
      <c r="F33" s="66"/>
      <c r="G33" s="66"/>
      <c r="H33" s="67"/>
      <c r="I33" s="61">
        <v>7.85</v>
      </c>
      <c r="J33" s="61">
        <v>31</v>
      </c>
      <c r="K33" s="61">
        <v>170</v>
      </c>
      <c r="L33" s="61">
        <v>500</v>
      </c>
    </row>
    <row r="35" spans="2:12" x14ac:dyDescent="0.3">
      <c r="B35" s="64" t="s">
        <v>35</v>
      </c>
      <c r="C35" s="71" t="str">
        <f>Org!P8</f>
        <v>YARD 3</v>
      </c>
      <c r="D35" s="64" t="s">
        <v>36</v>
      </c>
      <c r="E35" s="68" t="s">
        <v>51</v>
      </c>
      <c r="F35" s="69"/>
      <c r="G35" s="69"/>
      <c r="H35" s="70"/>
      <c r="I35" s="64" t="s">
        <v>49</v>
      </c>
      <c r="J35" s="64"/>
      <c r="K35" s="64"/>
      <c r="L35" s="64"/>
    </row>
    <row r="36" spans="2:12" x14ac:dyDescent="0.3">
      <c r="B36" s="64"/>
      <c r="C36" s="72"/>
      <c r="D36" s="64"/>
      <c r="E36" s="59" t="s">
        <v>43</v>
      </c>
      <c r="F36" s="59" t="s">
        <v>44</v>
      </c>
      <c r="G36" s="59" t="s">
        <v>45</v>
      </c>
      <c r="H36" s="59" t="s">
        <v>46</v>
      </c>
      <c r="I36" s="59" t="s">
        <v>43</v>
      </c>
      <c r="J36" s="59" t="s">
        <v>44</v>
      </c>
      <c r="K36" s="59" t="s">
        <v>45</v>
      </c>
      <c r="L36" s="59" t="s">
        <v>46</v>
      </c>
    </row>
    <row r="37" spans="2:12" x14ac:dyDescent="0.3">
      <c r="B37" s="59">
        <v>1</v>
      </c>
      <c r="C37" s="60" t="str">
        <f>Org!P14</f>
        <v xml:space="preserve">70T CRAWLER CRANE 6901YS (RENTAL) </v>
      </c>
      <c r="D37" s="60">
        <f>Org!Q14</f>
        <v>1</v>
      </c>
      <c r="E37" s="61">
        <v>0</v>
      </c>
      <c r="F37" s="61">
        <v>0</v>
      </c>
      <c r="G37" s="61">
        <v>0</v>
      </c>
      <c r="H37" s="63">
        <v>3800</v>
      </c>
      <c r="I37" s="61">
        <v>0</v>
      </c>
      <c r="J37" s="61">
        <v>0</v>
      </c>
      <c r="K37" s="61">
        <v>3950</v>
      </c>
      <c r="L37" s="61">
        <v>10950</v>
      </c>
    </row>
    <row r="38" spans="2:12" x14ac:dyDescent="0.3">
      <c r="B38" s="59">
        <v>2</v>
      </c>
      <c r="C38" s="60" t="str">
        <f>Org!P15</f>
        <v>150T CRAWLER CRANE3286LH (RENTAL)</v>
      </c>
      <c r="D38" s="60">
        <f>Org!Q15</f>
        <v>1</v>
      </c>
      <c r="E38" s="61">
        <v>0</v>
      </c>
      <c r="F38" s="61">
        <v>0</v>
      </c>
      <c r="G38" s="61">
        <v>0</v>
      </c>
      <c r="H38" s="63">
        <v>7000</v>
      </c>
      <c r="I38" s="61">
        <v>0</v>
      </c>
      <c r="J38" s="61">
        <v>0</v>
      </c>
      <c r="K38" s="61">
        <v>7480</v>
      </c>
      <c r="L38" s="61">
        <v>18700</v>
      </c>
    </row>
    <row r="39" spans="2:12" x14ac:dyDescent="0.3">
      <c r="B39" s="59">
        <v>3</v>
      </c>
      <c r="C39" s="60" t="str">
        <f>Org!P18</f>
        <v>40KVA CUMMINS GENERATOR</v>
      </c>
      <c r="D39" s="60">
        <f>Org!Q18</f>
        <v>1</v>
      </c>
      <c r="E39" s="65" t="s">
        <v>50</v>
      </c>
      <c r="F39" s="66"/>
      <c r="G39" s="66"/>
      <c r="H39" s="67"/>
      <c r="I39" s="61">
        <v>8.6</v>
      </c>
      <c r="J39" s="61">
        <v>34</v>
      </c>
      <c r="K39" s="61">
        <v>185</v>
      </c>
      <c r="L39" s="61">
        <v>550</v>
      </c>
    </row>
    <row r="40" spans="2:12" x14ac:dyDescent="0.3">
      <c r="B40" s="59">
        <v>4</v>
      </c>
      <c r="C40" s="60" t="str">
        <f>Org!M26</f>
        <v xml:space="preserve">FLATBED TRAILER 3576MD (RENTAL) </v>
      </c>
      <c r="D40" s="60">
        <f>Org!P26</f>
        <v>1</v>
      </c>
      <c r="E40" s="61">
        <v>0</v>
      </c>
      <c r="F40" s="61">
        <v>0</v>
      </c>
      <c r="G40" s="61">
        <v>0</v>
      </c>
      <c r="H40" s="61">
        <v>1400</v>
      </c>
      <c r="I40" s="61">
        <v>20</v>
      </c>
      <c r="J40" s="61">
        <v>175</v>
      </c>
      <c r="K40" s="61">
        <v>940</v>
      </c>
      <c r="L40" s="61">
        <v>2800</v>
      </c>
    </row>
    <row r="41" spans="2:12" x14ac:dyDescent="0.3">
      <c r="B41" s="59">
        <v>5</v>
      </c>
      <c r="C41" s="60" t="str">
        <f>Org!M29</f>
        <v>PICK-UP 2819DA (RENTAL)</v>
      </c>
      <c r="D41" s="60">
        <f>Org!P29</f>
        <v>1</v>
      </c>
      <c r="E41" s="61">
        <v>0</v>
      </c>
      <c r="F41" s="61">
        <v>0</v>
      </c>
      <c r="G41" s="61">
        <v>0</v>
      </c>
      <c r="H41" s="61">
        <v>300</v>
      </c>
      <c r="I41" s="61">
        <v>0</v>
      </c>
      <c r="J41" s="61">
        <v>60</v>
      </c>
      <c r="K41" s="61">
        <v>480</v>
      </c>
      <c r="L41" s="61">
        <v>1200</v>
      </c>
    </row>
    <row r="43" spans="2:12" x14ac:dyDescent="0.3">
      <c r="B43" s="64" t="s">
        <v>35</v>
      </c>
      <c r="C43" s="71" t="str">
        <f>Org!V11</f>
        <v>TSF</v>
      </c>
      <c r="D43" s="64" t="s">
        <v>36</v>
      </c>
      <c r="E43" s="68" t="s">
        <v>51</v>
      </c>
      <c r="F43" s="69"/>
      <c r="G43" s="69"/>
      <c r="H43" s="70"/>
      <c r="I43" s="64" t="s">
        <v>49</v>
      </c>
      <c r="J43" s="64"/>
      <c r="K43" s="64"/>
      <c r="L43" s="64"/>
    </row>
    <row r="44" spans="2:12" x14ac:dyDescent="0.3">
      <c r="B44" s="64"/>
      <c r="C44" s="72"/>
      <c r="D44" s="64"/>
      <c r="E44" s="59" t="s">
        <v>43</v>
      </c>
      <c r="F44" s="59" t="s">
        <v>44</v>
      </c>
      <c r="G44" s="59" t="s">
        <v>45</v>
      </c>
      <c r="H44" s="59" t="s">
        <v>46</v>
      </c>
      <c r="I44" s="59" t="s">
        <v>43</v>
      </c>
      <c r="J44" s="59" t="s">
        <v>44</v>
      </c>
      <c r="K44" s="59" t="s">
        <v>45</v>
      </c>
      <c r="L44" s="59" t="s">
        <v>46</v>
      </c>
    </row>
    <row r="45" spans="2:12" x14ac:dyDescent="0.3">
      <c r="B45" s="59">
        <v>1</v>
      </c>
      <c r="C45" s="60" t="str">
        <f>Org!V14</f>
        <v xml:space="preserve">70T TELESCOPIC CRANE 3155MH (RENTAL) </v>
      </c>
      <c r="D45" s="60">
        <f>Org!W14</f>
        <v>1</v>
      </c>
      <c r="E45" s="61">
        <v>0</v>
      </c>
      <c r="F45" s="61">
        <v>0</v>
      </c>
      <c r="G45" s="61">
        <v>0</v>
      </c>
      <c r="H45" s="61">
        <v>2400</v>
      </c>
      <c r="I45" s="61">
        <v>0</v>
      </c>
      <c r="J45" s="61">
        <v>454</v>
      </c>
      <c r="K45" s="61">
        <v>2500</v>
      </c>
      <c r="L45" s="61">
        <v>7500</v>
      </c>
    </row>
    <row r="46" spans="2:12" x14ac:dyDescent="0.3">
      <c r="B46" s="59">
        <v>2</v>
      </c>
      <c r="C46" s="60" t="str">
        <f>Org!V15</f>
        <v xml:space="preserve">70T CRAWLER CRANE  9068HW (RENTAL) </v>
      </c>
      <c r="D46" s="60">
        <f>Org!W15</f>
        <v>1</v>
      </c>
      <c r="E46" s="61">
        <v>0</v>
      </c>
      <c r="F46" s="61">
        <v>0</v>
      </c>
      <c r="G46" s="61">
        <v>0</v>
      </c>
      <c r="H46" s="63">
        <v>3800</v>
      </c>
      <c r="I46" s="61">
        <v>0</v>
      </c>
      <c r="J46" s="61">
        <v>0</v>
      </c>
      <c r="K46" s="61">
        <v>3950</v>
      </c>
      <c r="L46" s="61">
        <v>10950</v>
      </c>
    </row>
    <row r="47" spans="2:12" x14ac:dyDescent="0.3">
      <c r="B47" s="59">
        <v>3</v>
      </c>
      <c r="C47" s="60" t="str">
        <f>Org!V16</f>
        <v>100T TELESCOPIC CRANE 9480ML (RENTAL)</v>
      </c>
      <c r="D47" s="60">
        <f>Org!W16</f>
        <v>1</v>
      </c>
      <c r="E47" s="61">
        <v>0</v>
      </c>
      <c r="F47" s="61">
        <v>0</v>
      </c>
      <c r="G47" s="61">
        <v>0</v>
      </c>
      <c r="H47" s="63">
        <v>6800</v>
      </c>
      <c r="I47" s="61">
        <v>0</v>
      </c>
      <c r="J47" s="61">
        <v>0</v>
      </c>
      <c r="K47" s="61">
        <v>6730</v>
      </c>
      <c r="L47" s="61">
        <v>16380</v>
      </c>
    </row>
    <row r="48" spans="2:12" x14ac:dyDescent="0.3">
      <c r="B48" s="59">
        <v>4</v>
      </c>
      <c r="C48" s="60" t="str">
        <f>Org!V19</f>
        <v>7T HI-UP 1077DS</v>
      </c>
      <c r="D48" s="60">
        <f>Org!W19</f>
        <v>1</v>
      </c>
      <c r="E48" s="65" t="s">
        <v>50</v>
      </c>
      <c r="F48" s="66"/>
      <c r="G48" s="66"/>
      <c r="H48" s="67"/>
      <c r="I48" s="61">
        <v>15</v>
      </c>
      <c r="J48" s="61">
        <v>135</v>
      </c>
      <c r="K48" s="61">
        <v>720</v>
      </c>
      <c r="L48" s="61">
        <v>2150</v>
      </c>
    </row>
    <row r="49" spans="2:12" x14ac:dyDescent="0.3">
      <c r="B49" s="59">
        <v>5</v>
      </c>
      <c r="C49" s="60" t="str">
        <f>Org!V22</f>
        <v>14T FORKLIFT 2088LD</v>
      </c>
      <c r="D49" s="60">
        <f>Org!W22</f>
        <v>1</v>
      </c>
      <c r="E49" s="65" t="s">
        <v>50</v>
      </c>
      <c r="F49" s="66"/>
      <c r="G49" s="66"/>
      <c r="H49" s="67"/>
      <c r="I49" s="61">
        <v>29.25</v>
      </c>
      <c r="J49" s="61">
        <v>263.5</v>
      </c>
      <c r="K49" s="61">
        <v>1445</v>
      </c>
      <c r="L49" s="61">
        <v>4335</v>
      </c>
    </row>
    <row r="50" spans="2:12" x14ac:dyDescent="0.3">
      <c r="B50" s="59">
        <v>6</v>
      </c>
      <c r="C50" s="60" t="str">
        <f>Org!V25</f>
        <v>4T JCB TELEHANDLER 5630YW</v>
      </c>
      <c r="D50" s="60">
        <f>Org!W25</f>
        <v>1</v>
      </c>
      <c r="E50" s="65" t="s">
        <v>50</v>
      </c>
      <c r="F50" s="66"/>
      <c r="G50" s="66"/>
      <c r="H50" s="67"/>
      <c r="I50" s="61">
        <v>15</v>
      </c>
      <c r="J50" s="61">
        <v>135</v>
      </c>
      <c r="K50" s="61">
        <v>735</v>
      </c>
      <c r="L50" s="61">
        <v>2200</v>
      </c>
    </row>
    <row r="51" spans="2:12" x14ac:dyDescent="0.3">
      <c r="B51" s="59">
        <v>7</v>
      </c>
      <c r="C51" s="60" t="str">
        <f>Org!V28</f>
        <v>FLATBED TRAILER 7465BM</v>
      </c>
      <c r="D51" s="60">
        <f>Org!W28</f>
        <v>1</v>
      </c>
      <c r="E51" s="65" t="s">
        <v>50</v>
      </c>
      <c r="F51" s="66"/>
      <c r="G51" s="66"/>
      <c r="H51" s="67"/>
      <c r="I51" s="61">
        <v>20</v>
      </c>
      <c r="J51" s="61">
        <v>175</v>
      </c>
      <c r="K51" s="61">
        <v>940</v>
      </c>
      <c r="L51" s="61">
        <v>2800</v>
      </c>
    </row>
    <row r="52" spans="2:12" ht="14.4" customHeight="1" x14ac:dyDescent="0.3">
      <c r="B52" s="59">
        <v>8</v>
      </c>
      <c r="C52" s="60" t="str">
        <f>Org!V29</f>
        <v>RENAULT LOWBED TRAILER 2939ML</v>
      </c>
      <c r="D52" s="60">
        <f>Org!W29</f>
        <v>1</v>
      </c>
      <c r="E52" s="65" t="s">
        <v>50</v>
      </c>
      <c r="F52" s="66"/>
      <c r="G52" s="66"/>
      <c r="H52" s="67"/>
      <c r="I52" s="61">
        <v>40</v>
      </c>
      <c r="J52" s="61">
        <v>350</v>
      </c>
      <c r="K52" s="61">
        <v>1880</v>
      </c>
      <c r="L52" s="61">
        <v>5600</v>
      </c>
    </row>
    <row r="53" spans="2:12" ht="14.4" customHeight="1" x14ac:dyDescent="0.3">
      <c r="B53" s="59">
        <v>10</v>
      </c>
      <c r="C53" s="60" t="str">
        <f>Org!V32</f>
        <v>12M SCISSOR LIFT 20251128-04</v>
      </c>
      <c r="D53" s="60">
        <f>Org!W32</f>
        <v>1</v>
      </c>
      <c r="E53" s="65" t="s">
        <v>50</v>
      </c>
      <c r="F53" s="66"/>
      <c r="G53" s="66"/>
      <c r="H53" s="67"/>
      <c r="I53" s="61">
        <v>10</v>
      </c>
      <c r="J53" s="61">
        <v>85</v>
      </c>
      <c r="K53" s="61">
        <v>470</v>
      </c>
      <c r="L53" s="61">
        <v>1400</v>
      </c>
    </row>
    <row r="54" spans="2:12" ht="14.4" customHeight="1" x14ac:dyDescent="0.3">
      <c r="B54" s="59">
        <v>11</v>
      </c>
      <c r="C54" s="60" t="str">
        <f>Org!V35</f>
        <v>300/330KVA CUMMINS GENERATOR</v>
      </c>
      <c r="D54" s="60">
        <f>Org!W35</f>
        <v>1</v>
      </c>
      <c r="E54" s="65" t="s">
        <v>50</v>
      </c>
      <c r="F54" s="66"/>
      <c r="G54" s="66"/>
      <c r="H54" s="67"/>
      <c r="I54" s="60" t="s">
        <v>47</v>
      </c>
      <c r="J54" s="60" t="s">
        <v>47</v>
      </c>
      <c r="K54" s="60" t="s">
        <v>47</v>
      </c>
      <c r="L54" s="60" t="s">
        <v>47</v>
      </c>
    </row>
    <row r="55" spans="2:12" ht="14.4" customHeight="1" x14ac:dyDescent="0.3">
      <c r="B55" s="59">
        <v>12</v>
      </c>
      <c r="C55" s="60" t="str">
        <f>Org!V36</f>
        <v>35/40KVA CUMMINS GENERATOR</v>
      </c>
      <c r="D55" s="60">
        <f>Org!W36</f>
        <v>1</v>
      </c>
      <c r="E55" s="65" t="s">
        <v>50</v>
      </c>
      <c r="F55" s="66"/>
      <c r="G55" s="66"/>
      <c r="H55" s="67"/>
      <c r="I55" s="61">
        <v>8.6</v>
      </c>
      <c r="J55" s="61">
        <v>34</v>
      </c>
      <c r="K55" s="61">
        <v>185</v>
      </c>
      <c r="L55" s="61">
        <v>550</v>
      </c>
    </row>
    <row r="56" spans="2:12" ht="14.4" customHeight="1" x14ac:dyDescent="0.3">
      <c r="B56" s="59">
        <v>13</v>
      </c>
      <c r="C56" s="60" t="str">
        <f>Org!V39</f>
        <v>6.5 KW TOWER LIGHT LED LD1000JN202510071</v>
      </c>
      <c r="D56" s="60">
        <f>Org!W39</f>
        <v>1</v>
      </c>
      <c r="E56" s="65" t="s">
        <v>50</v>
      </c>
      <c r="F56" s="66"/>
      <c r="G56" s="66"/>
      <c r="H56" s="67"/>
      <c r="I56" s="61">
        <v>8.6</v>
      </c>
      <c r="J56" s="61">
        <v>34</v>
      </c>
      <c r="K56" s="61">
        <v>185</v>
      </c>
      <c r="L56" s="61">
        <v>550</v>
      </c>
    </row>
    <row r="57" spans="2:12" ht="14.4" customHeight="1" x14ac:dyDescent="0.3">
      <c r="B57" s="59">
        <v>14</v>
      </c>
      <c r="C57" s="60" t="str">
        <f>Org!V40</f>
        <v>7.2KW TOWER LIGHT 2702250306</v>
      </c>
      <c r="D57" s="60">
        <f>Org!W40</f>
        <v>1</v>
      </c>
      <c r="E57" s="65" t="s">
        <v>50</v>
      </c>
      <c r="F57" s="66"/>
      <c r="G57" s="66"/>
      <c r="H57" s="67"/>
      <c r="I57" s="61">
        <v>8.6</v>
      </c>
      <c r="J57" s="61">
        <v>34</v>
      </c>
      <c r="K57" s="61">
        <v>185</v>
      </c>
      <c r="L57" s="61">
        <v>550</v>
      </c>
    </row>
    <row r="58" spans="2:12" ht="14.4" customHeight="1" x14ac:dyDescent="0.3">
      <c r="B58" s="59">
        <v>15</v>
      </c>
      <c r="C58" s="60" t="str">
        <f>Org!V41</f>
        <v>7.2KW TOWER LIGHT 2025121001</v>
      </c>
      <c r="D58" s="60">
        <f>Org!W41</f>
        <v>1</v>
      </c>
      <c r="E58" s="65" t="s">
        <v>50</v>
      </c>
      <c r="F58" s="66"/>
      <c r="G58" s="66"/>
      <c r="H58" s="67"/>
      <c r="I58" s="61">
        <v>8.6</v>
      </c>
      <c r="J58" s="61">
        <v>34</v>
      </c>
      <c r="K58" s="61">
        <v>185</v>
      </c>
      <c r="L58" s="61">
        <v>550</v>
      </c>
    </row>
    <row r="59" spans="2:12" ht="14.4" customHeight="1" x14ac:dyDescent="0.3">
      <c r="B59" s="59">
        <v>16</v>
      </c>
      <c r="C59" s="60" t="str">
        <f>Org!V44</f>
        <v xml:space="preserve">PICK-UP 569WA (RENTAL) </v>
      </c>
      <c r="D59" s="60">
        <f>Org!W44</f>
        <v>1</v>
      </c>
      <c r="E59" s="61">
        <v>0</v>
      </c>
      <c r="F59" s="61">
        <v>0</v>
      </c>
      <c r="G59" s="61">
        <v>0</v>
      </c>
      <c r="H59" s="61">
        <v>300</v>
      </c>
      <c r="I59" s="61">
        <v>0</v>
      </c>
      <c r="J59" s="61">
        <v>60</v>
      </c>
      <c r="K59" s="61">
        <v>480</v>
      </c>
      <c r="L59" s="61">
        <v>1200</v>
      </c>
    </row>
    <row r="60" spans="2:12" ht="14.4" customHeight="1" x14ac:dyDescent="0.3">
      <c r="B60" s="59">
        <v>17</v>
      </c>
      <c r="C60" s="60" t="str">
        <f>Org!V45</f>
        <v xml:space="preserve">PICK-UP 15BM (RENTAL) </v>
      </c>
      <c r="D60" s="60">
        <f>Org!W45</f>
        <v>1</v>
      </c>
      <c r="E60" s="61">
        <v>0</v>
      </c>
      <c r="F60" s="61">
        <v>0</v>
      </c>
      <c r="G60" s="61">
        <v>0</v>
      </c>
      <c r="H60" s="61">
        <v>300</v>
      </c>
      <c r="I60" s="61">
        <v>0</v>
      </c>
      <c r="J60" s="61">
        <v>60</v>
      </c>
      <c r="K60" s="61">
        <v>480</v>
      </c>
      <c r="L60" s="61">
        <v>1200</v>
      </c>
    </row>
    <row r="61" spans="2:12" ht="14.4" customHeight="1" x14ac:dyDescent="0.3">
      <c r="B61" s="59">
        <v>18</v>
      </c>
      <c r="C61" s="60" t="str">
        <f>Org!V48</f>
        <v>55 SEAT BUS 7885YM (RENTAL)</v>
      </c>
      <c r="D61" s="60">
        <f>Org!W48</f>
        <v>1</v>
      </c>
      <c r="E61" s="61">
        <v>0</v>
      </c>
      <c r="F61" s="61">
        <v>0</v>
      </c>
      <c r="G61" s="61">
        <v>0</v>
      </c>
      <c r="H61" s="61">
        <v>600</v>
      </c>
      <c r="I61" s="60" t="s">
        <v>47</v>
      </c>
      <c r="J61" s="60" t="s">
        <v>47</v>
      </c>
      <c r="K61" s="60" t="s">
        <v>47</v>
      </c>
      <c r="L61" s="60" t="s">
        <v>47</v>
      </c>
    </row>
    <row r="62" spans="2:12" ht="14.4" customHeight="1" x14ac:dyDescent="0.3">
      <c r="B62" s="59">
        <v>19</v>
      </c>
      <c r="C62" s="60" t="str">
        <f>Org!V49</f>
        <v>22 SEAT BUS 2498YD</v>
      </c>
      <c r="D62" s="60">
        <f>Org!W49</f>
        <v>1</v>
      </c>
      <c r="E62" s="65" t="s">
        <v>50</v>
      </c>
      <c r="F62" s="66"/>
      <c r="G62" s="66"/>
      <c r="H62" s="67"/>
      <c r="I62" s="60" t="s">
        <v>47</v>
      </c>
      <c r="J62" s="60" t="s">
        <v>47</v>
      </c>
      <c r="K62" s="60" t="s">
        <v>47</v>
      </c>
      <c r="L62" s="60" t="s">
        <v>47</v>
      </c>
    </row>
    <row r="63" spans="2:12" ht="14.4" customHeight="1" x14ac:dyDescent="0.3">
      <c r="B63" s="59">
        <v>20</v>
      </c>
      <c r="C63" s="60" t="str">
        <f>Org!V50</f>
        <v>22 SEAT BUS 8028WA</v>
      </c>
      <c r="D63" s="60">
        <f>Org!W50</f>
        <v>1</v>
      </c>
      <c r="E63" s="65" t="s">
        <v>50</v>
      </c>
      <c r="F63" s="66"/>
      <c r="G63" s="66"/>
      <c r="H63" s="67"/>
      <c r="I63" s="60" t="s">
        <v>47</v>
      </c>
      <c r="J63" s="60" t="s">
        <v>47</v>
      </c>
      <c r="K63" s="60" t="s">
        <v>47</v>
      </c>
      <c r="L63" s="60" t="s">
        <v>47</v>
      </c>
    </row>
    <row r="64" spans="2:12" ht="14.4" customHeight="1" x14ac:dyDescent="0.3">
      <c r="B64" s="59">
        <v>21</v>
      </c>
      <c r="C64" s="60" t="str">
        <f>Org!V51</f>
        <v>15 SEAT BUS 9405YR</v>
      </c>
      <c r="D64" s="60">
        <f>Org!W51</f>
        <v>1</v>
      </c>
      <c r="E64" s="65" t="s">
        <v>50</v>
      </c>
      <c r="F64" s="66"/>
      <c r="G64" s="66"/>
      <c r="H64" s="67"/>
      <c r="I64" s="60" t="s">
        <v>47</v>
      </c>
      <c r="J64" s="60" t="s">
        <v>47</v>
      </c>
      <c r="K64" s="60" t="s">
        <v>47</v>
      </c>
      <c r="L64" s="60" t="s">
        <v>47</v>
      </c>
    </row>
    <row r="65" spans="2:12" ht="14.4" customHeight="1" x14ac:dyDescent="0.3">
      <c r="B65" s="59">
        <v>22</v>
      </c>
      <c r="C65" s="60" t="str">
        <f>Org!V52</f>
        <v>13 SEAT BUS 4546MH</v>
      </c>
      <c r="D65" s="60">
        <f>Org!W52</f>
        <v>1</v>
      </c>
      <c r="E65" s="65" t="s">
        <v>50</v>
      </c>
      <c r="F65" s="66"/>
      <c r="G65" s="66"/>
      <c r="H65" s="67"/>
      <c r="I65" s="60" t="s">
        <v>47</v>
      </c>
      <c r="J65" s="60" t="s">
        <v>47</v>
      </c>
      <c r="K65" s="60" t="s">
        <v>47</v>
      </c>
      <c r="L65" s="60" t="s">
        <v>47</v>
      </c>
    </row>
  </sheetData>
  <mergeCells count="59">
    <mergeCell ref="E64:H64"/>
    <mergeCell ref="E65:H65"/>
    <mergeCell ref="E39:H39"/>
    <mergeCell ref="E48:H48"/>
    <mergeCell ref="E49:H49"/>
    <mergeCell ref="E53:H53"/>
    <mergeCell ref="E56:H56"/>
    <mergeCell ref="E50:H50"/>
    <mergeCell ref="E52:H52"/>
    <mergeCell ref="E57:H57"/>
    <mergeCell ref="E58:H58"/>
    <mergeCell ref="E62:H62"/>
    <mergeCell ref="E63:H63"/>
    <mergeCell ref="B27:B28"/>
    <mergeCell ref="D27:D28"/>
    <mergeCell ref="E4:H4"/>
    <mergeCell ref="E5:H5"/>
    <mergeCell ref="E6:H6"/>
    <mergeCell ref="E7:H7"/>
    <mergeCell ref="E8:H8"/>
    <mergeCell ref="E10:H10"/>
    <mergeCell ref="E18:H18"/>
    <mergeCell ref="E19:H19"/>
    <mergeCell ref="E22:H22"/>
    <mergeCell ref="E12:H12"/>
    <mergeCell ref="E24:H24"/>
    <mergeCell ref="E23:H23"/>
    <mergeCell ref="E20:H20"/>
    <mergeCell ref="C35:C36"/>
    <mergeCell ref="D35:D36"/>
    <mergeCell ref="I35:L35"/>
    <mergeCell ref="I27:L27"/>
    <mergeCell ref="C27:C28"/>
    <mergeCell ref="E27:H27"/>
    <mergeCell ref="E31:H31"/>
    <mergeCell ref="E32:H32"/>
    <mergeCell ref="E35:H35"/>
    <mergeCell ref="E33:H33"/>
    <mergeCell ref="I43:L43"/>
    <mergeCell ref="C43:C44"/>
    <mergeCell ref="E51:H51"/>
    <mergeCell ref="B2:B3"/>
    <mergeCell ref="D2:D3"/>
    <mergeCell ref="I2:L2"/>
    <mergeCell ref="C2:C3"/>
    <mergeCell ref="B14:B15"/>
    <mergeCell ref="C14:C15"/>
    <mergeCell ref="D14:D15"/>
    <mergeCell ref="I14:L14"/>
    <mergeCell ref="E2:H2"/>
    <mergeCell ref="E14:H14"/>
    <mergeCell ref="E11:H11"/>
    <mergeCell ref="E9:H9"/>
    <mergeCell ref="B35:B36"/>
    <mergeCell ref="B43:B44"/>
    <mergeCell ref="D43:D44"/>
    <mergeCell ref="E54:H54"/>
    <mergeCell ref="E55:H55"/>
    <mergeCell ref="E43:H43"/>
  </mergeCells>
  <printOptions horizontalCentered="1"/>
  <pageMargins left="0.2" right="0.2" top="0.75" bottom="0.5" header="0.3" footer="0.3"/>
  <pageSetup paperSize="9" scale="53" orientation="landscape" r:id="rId1"/>
  <headerFooter>
    <oddHeader>&amp;L&amp;"-,Bold"&amp;28ENCOGROUP&amp;C&amp;"-,Bold"&amp;48EQUIPMENT RATE&amp;R&amp;"-,Bold"&amp;28 14-APR-2026
Rev.05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Org</vt:lpstr>
      <vt:lpstr>Cost</vt:lpstr>
      <vt:lpstr>Org!Print_Area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Enco Group</cp:lastModifiedBy>
  <cp:revision/>
  <cp:lastPrinted>2026-04-08T09:50:05Z</cp:lastPrinted>
  <dcterms:created xsi:type="dcterms:W3CDTF">2021-10-21T07:39:05Z</dcterms:created>
  <dcterms:modified xsi:type="dcterms:W3CDTF">2026-04-15T10:45:43Z</dcterms:modified>
  <cp:category/>
  <cp:contentStatus/>
</cp:coreProperties>
</file>